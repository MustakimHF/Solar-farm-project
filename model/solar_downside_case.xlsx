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kim\Downloads\"/>
    </mc:Choice>
  </mc:AlternateContent>
  <xr:revisionPtr revIDLastSave="0" documentId="8_{3F5B1D79-35FA-4F33-AEE0-FF812F5ABC3D}" xr6:coauthVersionLast="47" xr6:coauthVersionMax="47" xr10:uidLastSave="{00000000-0000-0000-0000-000000000000}"/>
  <bookViews>
    <workbookView xWindow="14295" yWindow="0" windowWidth="14610" windowHeight="16305" firstSheet="9" activeTab="9" xr2:uid="{75C15D7E-9BC2-4D6B-B868-A3FE0F1BC1CF}"/>
  </bookViews>
  <sheets>
    <sheet name="00 Cover" sheetId="1" r:id="rId1"/>
    <sheet name="01 Inputs" sheetId="2" r:id="rId2"/>
    <sheet name="02 Timeline" sheetId="3" r:id="rId3"/>
    <sheet name="03 Construction" sheetId="4" r:id="rId4"/>
    <sheet name="04 Operation" sheetId="5" r:id="rId5"/>
    <sheet name="05 Debt" sheetId="6" r:id="rId6"/>
    <sheet name="06 Tax" sheetId="7" r:id="rId7"/>
    <sheet name="07 Cash Flow" sheetId="8" r:id="rId8"/>
    <sheet name="08 Returns" sheetId="9" r:id="rId9"/>
    <sheet name="09 Sensitivities" sheetId="10" r:id="rId10"/>
    <sheet name="10 Dashboard" sheetId="11" r:id="rId11"/>
    <sheet name="11 Check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2" l="1"/>
  <c r="C7" i="12"/>
  <c r="D6" i="12"/>
  <c r="D5" i="12"/>
  <c r="D4" i="12"/>
  <c r="C6" i="12"/>
  <c r="C5" i="12"/>
  <c r="C4" i="12"/>
  <c r="C14" i="9"/>
  <c r="C13" i="9"/>
  <c r="C12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C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C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C8" i="9"/>
  <c r="S7" i="9"/>
  <c r="T7" i="9"/>
  <c r="U7" i="9"/>
  <c r="V7" i="9"/>
  <c r="W7" i="9"/>
  <c r="X7" i="9"/>
  <c r="Y7" i="9"/>
  <c r="Z7" i="9"/>
  <c r="AA7" i="9"/>
  <c r="AB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C7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C6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C5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C4" i="9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C13" i="8"/>
  <c r="AB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C12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C11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C10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C9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C8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C7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C6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C5" i="8"/>
  <c r="C5" i="7"/>
  <c r="E5" i="7"/>
  <c r="F5" i="7"/>
  <c r="G5" i="7"/>
  <c r="H5" i="7"/>
  <c r="I5" i="7"/>
  <c r="J5" i="7"/>
  <c r="K5" i="7"/>
  <c r="L5" i="7"/>
  <c r="M5" i="7"/>
  <c r="N5" i="7"/>
  <c r="N7" i="7" s="1"/>
  <c r="N8" i="7" s="1"/>
  <c r="O5" i="7"/>
  <c r="O7" i="7" s="1"/>
  <c r="O8" i="7" s="1"/>
  <c r="P5" i="7"/>
  <c r="Q5" i="7"/>
  <c r="R5" i="7"/>
  <c r="S5" i="7"/>
  <c r="T5" i="7"/>
  <c r="U5" i="7"/>
  <c r="U7" i="7" s="1"/>
  <c r="U8" i="7" s="1"/>
  <c r="V5" i="7"/>
  <c r="V7" i="7" s="1"/>
  <c r="V8" i="7" s="1"/>
  <c r="W5" i="7"/>
  <c r="W7" i="7" s="1"/>
  <c r="W8" i="7" s="1"/>
  <c r="X5" i="7"/>
  <c r="X7" i="7" s="1"/>
  <c r="X8" i="7" s="1"/>
  <c r="Y5" i="7"/>
  <c r="Z5" i="7"/>
  <c r="AA5" i="7"/>
  <c r="AB5" i="7"/>
  <c r="D5" i="7"/>
  <c r="D7" i="7" s="1"/>
  <c r="D8" i="7" s="1"/>
  <c r="I7" i="7"/>
  <c r="I8" i="7" s="1"/>
  <c r="J7" i="7"/>
  <c r="J8" i="7" s="1"/>
  <c r="K7" i="7"/>
  <c r="K8" i="7" s="1"/>
  <c r="L7" i="7"/>
  <c r="L8" i="7" s="1"/>
  <c r="M7" i="7"/>
  <c r="M8" i="7" s="1"/>
  <c r="P7" i="7"/>
  <c r="P8" i="7" s="1"/>
  <c r="Q7" i="7"/>
  <c r="Q8" i="7" s="1"/>
  <c r="R7" i="7"/>
  <c r="R8" i="7" s="1"/>
  <c r="S7" i="7"/>
  <c r="S8" i="7" s="1"/>
  <c r="T7" i="7"/>
  <c r="T8" i="7" s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C9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D6" i="3"/>
  <c r="E6" i="3"/>
  <c r="F6" i="3"/>
  <c r="G6" i="3"/>
  <c r="H6" i="3"/>
  <c r="I6" i="3"/>
  <c r="J6" i="3"/>
  <c r="J5" i="5" s="1"/>
  <c r="J11" i="5" s="1"/>
  <c r="K6" i="3"/>
  <c r="K5" i="5" s="1"/>
  <c r="K11" i="5" s="1"/>
  <c r="L6" i="3"/>
  <c r="L5" i="5" s="1"/>
  <c r="L11" i="5" s="1"/>
  <c r="M6" i="3"/>
  <c r="M5" i="5" s="1"/>
  <c r="M11" i="5" s="1"/>
  <c r="N6" i="3"/>
  <c r="N5" i="5" s="1"/>
  <c r="N11" i="5" s="1"/>
  <c r="O6" i="3"/>
  <c r="O5" i="5" s="1"/>
  <c r="O11" i="5" s="1"/>
  <c r="P6" i="3"/>
  <c r="P5" i="5" s="1"/>
  <c r="P11" i="5" s="1"/>
  <c r="Q6" i="3"/>
  <c r="Q5" i="5" s="1"/>
  <c r="Q11" i="5" s="1"/>
  <c r="R6" i="3"/>
  <c r="R5" i="5" s="1"/>
  <c r="R11" i="5" s="1"/>
  <c r="S6" i="3"/>
  <c r="S5" i="5" s="1"/>
  <c r="T6" i="3"/>
  <c r="T5" i="5" s="1"/>
  <c r="T11" i="5" s="1"/>
  <c r="U6" i="3"/>
  <c r="U5" i="5" s="1"/>
  <c r="U11" i="5" s="1"/>
  <c r="V6" i="3"/>
  <c r="V5" i="5" s="1"/>
  <c r="V11" i="5" s="1"/>
  <c r="W6" i="3"/>
  <c r="W5" i="5" s="1"/>
  <c r="W11" i="5" s="1"/>
  <c r="X6" i="3"/>
  <c r="Y6" i="3"/>
  <c r="Z6" i="3"/>
  <c r="AA6" i="3"/>
  <c r="AB6" i="3"/>
  <c r="C6" i="3"/>
  <c r="C5" i="5" s="1"/>
  <c r="C11" i="5" s="1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C4" i="8"/>
  <c r="E7" i="7"/>
  <c r="E8" i="7" s="1"/>
  <c r="F7" i="7"/>
  <c r="F8" i="7" s="1"/>
  <c r="G7" i="7"/>
  <c r="G8" i="7" s="1"/>
  <c r="H7" i="7"/>
  <c r="H8" i="7" s="1"/>
  <c r="Y7" i="7"/>
  <c r="Y8" i="7" s="1"/>
  <c r="Z7" i="7"/>
  <c r="Z8" i="7" s="1"/>
  <c r="AA7" i="7"/>
  <c r="AA8" i="7" s="1"/>
  <c r="AB7" i="7"/>
  <c r="AB8" i="7" s="1"/>
  <c r="C7" i="7"/>
  <c r="C8" i="7" s="1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C6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C4" i="7"/>
  <c r="D10" i="6"/>
  <c r="C10" i="6"/>
  <c r="S8" i="6"/>
  <c r="T8" i="6"/>
  <c r="U8" i="6"/>
  <c r="V8" i="6"/>
  <c r="W8" i="6"/>
  <c r="X8" i="6"/>
  <c r="Y8" i="6"/>
  <c r="Z8" i="6"/>
  <c r="AA8" i="6"/>
  <c r="AB8" i="6"/>
  <c r="C8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C12" i="6"/>
  <c r="D7" i="6"/>
  <c r="C7" i="6"/>
  <c r="C9" i="6" s="1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C6" i="6"/>
  <c r="E5" i="6"/>
  <c r="D5" i="6"/>
  <c r="D8" i="6" s="1"/>
  <c r="C5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C4" i="6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C7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C4" i="5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C5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C4" i="4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D5" i="5"/>
  <c r="D8" i="5" s="1"/>
  <c r="E5" i="5"/>
  <c r="E13" i="5" s="1"/>
  <c r="F5" i="5"/>
  <c r="F11" i="5" s="1"/>
  <c r="G5" i="5"/>
  <c r="G11" i="5" s="1"/>
  <c r="H5" i="5"/>
  <c r="H11" i="5" s="1"/>
  <c r="I5" i="5"/>
  <c r="I11" i="5" s="1"/>
  <c r="X5" i="5"/>
  <c r="X13" i="5" s="1"/>
  <c r="Y5" i="5"/>
  <c r="Z5" i="5"/>
  <c r="Z11" i="5" s="1"/>
  <c r="AA5" i="5"/>
  <c r="AA11" i="5" s="1"/>
  <c r="AB5" i="5"/>
  <c r="AB11" i="5" s="1"/>
  <c r="C5" i="3"/>
  <c r="C6" i="4" s="1"/>
  <c r="D5" i="3"/>
  <c r="D6" i="4" s="1"/>
  <c r="E5" i="3"/>
  <c r="E6" i="4" s="1"/>
  <c r="F5" i="3"/>
  <c r="F6" i="4" s="1"/>
  <c r="G5" i="3"/>
  <c r="G6" i="4" s="1"/>
  <c r="H5" i="3"/>
  <c r="H6" i="4" s="1"/>
  <c r="I5" i="3"/>
  <c r="I6" i="4" s="1"/>
  <c r="J5" i="3"/>
  <c r="J6" i="4" s="1"/>
  <c r="K5" i="3"/>
  <c r="K6" i="4" s="1"/>
  <c r="K7" i="4" s="1"/>
  <c r="L5" i="3"/>
  <c r="L6" i="4" s="1"/>
  <c r="L8" i="4" s="1"/>
  <c r="M5" i="3"/>
  <c r="M6" i="4" s="1"/>
  <c r="M8" i="4" s="1"/>
  <c r="N5" i="3"/>
  <c r="N6" i="4" s="1"/>
  <c r="N7" i="4" s="1"/>
  <c r="O5" i="3"/>
  <c r="O6" i="4" s="1"/>
  <c r="O8" i="4" s="1"/>
  <c r="P5" i="3"/>
  <c r="P6" i="4" s="1"/>
  <c r="P8" i="4" s="1"/>
  <c r="Q5" i="3"/>
  <c r="Q6" i="4" s="1"/>
  <c r="Q8" i="4" s="1"/>
  <c r="R5" i="3"/>
  <c r="R6" i="4" s="1"/>
  <c r="S5" i="3"/>
  <c r="S6" i="4" s="1"/>
  <c r="S7" i="4" s="1"/>
  <c r="T5" i="3"/>
  <c r="T6" i="4" s="1"/>
  <c r="U5" i="3"/>
  <c r="U6" i="4" s="1"/>
  <c r="V5" i="3"/>
  <c r="V6" i="4" s="1"/>
  <c r="W5" i="3"/>
  <c r="W6" i="4" s="1"/>
  <c r="X5" i="3"/>
  <c r="X6" i="4" s="1"/>
  <c r="Y5" i="3"/>
  <c r="Y6" i="4" s="1"/>
  <c r="Z5" i="3"/>
  <c r="Z6" i="4" s="1"/>
  <c r="AA5" i="3"/>
  <c r="AA6" i="4" s="1"/>
  <c r="AB5" i="3"/>
  <c r="AB6" i="4" s="1"/>
  <c r="E4" i="3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D4" i="3"/>
  <c r="S13" i="5" l="1"/>
  <c r="S11" i="5"/>
  <c r="Y11" i="5"/>
  <c r="E11" i="5"/>
  <c r="D11" i="5"/>
  <c r="X11" i="5"/>
  <c r="E8" i="6"/>
  <c r="E10" i="6" s="1"/>
  <c r="D9" i="6"/>
  <c r="U13" i="5"/>
  <c r="T13" i="5"/>
  <c r="R13" i="5"/>
  <c r="J7" i="4"/>
  <c r="J8" i="4"/>
  <c r="I7" i="4"/>
  <c r="I8" i="4"/>
  <c r="AB7" i="4"/>
  <c r="AB8" i="4"/>
  <c r="AB9" i="4" s="1"/>
  <c r="H7" i="4"/>
  <c r="H8" i="4"/>
  <c r="AA7" i="4"/>
  <c r="AA8" i="4"/>
  <c r="M8" i="5"/>
  <c r="M13" i="5"/>
  <c r="L13" i="5"/>
  <c r="L8" i="5"/>
  <c r="D8" i="4"/>
  <c r="D7" i="4"/>
  <c r="K8" i="5"/>
  <c r="K13" i="5"/>
  <c r="V7" i="4"/>
  <c r="V8" i="4"/>
  <c r="I13" i="5"/>
  <c r="I8" i="5"/>
  <c r="U7" i="4"/>
  <c r="U8" i="4"/>
  <c r="AB13" i="5"/>
  <c r="AB8" i="5"/>
  <c r="AB10" i="5" s="1"/>
  <c r="AB12" i="5" s="1"/>
  <c r="H13" i="5"/>
  <c r="H8" i="5"/>
  <c r="H10" i="5" s="1"/>
  <c r="P8" i="5"/>
  <c r="P13" i="5"/>
  <c r="O13" i="5"/>
  <c r="O8" i="5"/>
  <c r="O10" i="5" s="1"/>
  <c r="O12" i="5" s="1"/>
  <c r="G7" i="4"/>
  <c r="G8" i="4"/>
  <c r="E8" i="4"/>
  <c r="E7" i="4"/>
  <c r="X8" i="4"/>
  <c r="X7" i="4"/>
  <c r="C7" i="4"/>
  <c r="C8" i="4"/>
  <c r="J8" i="5"/>
  <c r="J13" i="5"/>
  <c r="C13" i="5"/>
  <c r="C6" i="5"/>
  <c r="C8" i="5" s="1"/>
  <c r="G8" i="5"/>
  <c r="G13" i="5"/>
  <c r="W13" i="5"/>
  <c r="W8" i="5"/>
  <c r="F7" i="4"/>
  <c r="F8" i="4"/>
  <c r="F9" i="4" s="1"/>
  <c r="T8" i="4"/>
  <c r="T7" i="4"/>
  <c r="T9" i="4" s="1"/>
  <c r="AA8" i="5"/>
  <c r="AA13" i="5"/>
  <c r="N8" i="5"/>
  <c r="N10" i="5" s="1"/>
  <c r="N13" i="5"/>
  <c r="Q8" i="5"/>
  <c r="Q13" i="5"/>
  <c r="Z7" i="4"/>
  <c r="Z8" i="4"/>
  <c r="Y8" i="4"/>
  <c r="Y7" i="4"/>
  <c r="W8" i="4"/>
  <c r="W7" i="4"/>
  <c r="W9" i="4" s="1"/>
  <c r="K8" i="4"/>
  <c r="K9" i="4" s="1"/>
  <c r="R7" i="4"/>
  <c r="P7" i="4"/>
  <c r="P9" i="4" s="1"/>
  <c r="Z8" i="5"/>
  <c r="F8" i="5"/>
  <c r="D10" i="5"/>
  <c r="Y8" i="5"/>
  <c r="Y10" i="5" s="1"/>
  <c r="E8" i="5"/>
  <c r="O7" i="4"/>
  <c r="O9" i="4" s="1"/>
  <c r="X8" i="5"/>
  <c r="Y13" i="5"/>
  <c r="Z13" i="5"/>
  <c r="V8" i="5"/>
  <c r="V10" i="5" s="1"/>
  <c r="V12" i="5" s="1"/>
  <c r="D13" i="5"/>
  <c r="Q7" i="4"/>
  <c r="Q9" i="4" s="1"/>
  <c r="U8" i="5"/>
  <c r="U10" i="5" s="1"/>
  <c r="U12" i="5" s="1"/>
  <c r="U14" i="5" s="1"/>
  <c r="S8" i="4"/>
  <c r="S9" i="4" s="1"/>
  <c r="L7" i="4"/>
  <c r="L9" i="4" s="1"/>
  <c r="T8" i="5"/>
  <c r="V13" i="5"/>
  <c r="S8" i="5"/>
  <c r="F13" i="5"/>
  <c r="M7" i="4"/>
  <c r="M9" i="4" s="1"/>
  <c r="R8" i="4"/>
  <c r="N8" i="4"/>
  <c r="N9" i="4" s="1"/>
  <c r="R8" i="5"/>
  <c r="C10" i="5" l="1"/>
  <c r="C12" i="5" s="1"/>
  <c r="F5" i="6"/>
  <c r="E7" i="6"/>
  <c r="E9" i="6" s="1"/>
  <c r="C9" i="4"/>
  <c r="X9" i="4"/>
  <c r="J9" i="4"/>
  <c r="R9" i="4"/>
  <c r="Y9" i="4"/>
  <c r="E9" i="4"/>
  <c r="U9" i="4"/>
  <c r="I10" i="5"/>
  <c r="I12" i="5" s="1"/>
  <c r="I14" i="5" s="1"/>
  <c r="G9" i="4"/>
  <c r="H9" i="4"/>
  <c r="D9" i="4"/>
  <c r="X10" i="5"/>
  <c r="E10" i="5"/>
  <c r="E12" i="5" s="1"/>
  <c r="E14" i="5" s="1"/>
  <c r="I9" i="4"/>
  <c r="V14" i="5"/>
  <c r="R10" i="5"/>
  <c r="R12" i="5" s="1"/>
  <c r="R14" i="5" s="1"/>
  <c r="AA9" i="4"/>
  <c r="V9" i="4"/>
  <c r="D12" i="5"/>
  <c r="D14" i="5" s="1"/>
  <c r="Z9" i="4"/>
  <c r="L10" i="5"/>
  <c r="L12" i="5" s="1"/>
  <c r="L14" i="5" s="1"/>
  <c r="AA10" i="5"/>
  <c r="AA12" i="5" s="1"/>
  <c r="AA14" i="5" s="1"/>
  <c r="C14" i="5"/>
  <c r="W10" i="5"/>
  <c r="W12" i="5" s="1"/>
  <c r="W14" i="5" s="1"/>
  <c r="Q10" i="5"/>
  <c r="Q12" i="5" s="1"/>
  <c r="Q14" i="5" s="1"/>
  <c r="N12" i="5"/>
  <c r="N14" i="5" s="1"/>
  <c r="O14" i="5"/>
  <c r="AB14" i="5"/>
  <c r="S10" i="5"/>
  <c r="S12" i="5" s="1"/>
  <c r="S14" i="5" s="1"/>
  <c r="Z10" i="5"/>
  <c r="Z12" i="5" s="1"/>
  <c r="Z14" i="5" s="1"/>
  <c r="H12" i="5"/>
  <c r="H14" i="5" s="1"/>
  <c r="K10" i="5"/>
  <c r="K12" i="5" s="1"/>
  <c r="K14" i="5" s="1"/>
  <c r="X12" i="5"/>
  <c r="X14" i="5" s="1"/>
  <c r="Y12" i="5"/>
  <c r="Y14" i="5" s="1"/>
  <c r="J10" i="5"/>
  <c r="J12" i="5" s="1"/>
  <c r="J14" i="5" s="1"/>
  <c r="F10" i="5"/>
  <c r="F12" i="5" s="1"/>
  <c r="F14" i="5" s="1"/>
  <c r="P10" i="5"/>
  <c r="P12" i="5" s="1"/>
  <c r="P14" i="5" s="1"/>
  <c r="T10" i="5"/>
  <c r="T12" i="5" s="1"/>
  <c r="T14" i="5" s="1"/>
  <c r="G10" i="5"/>
  <c r="G12" i="5" s="1"/>
  <c r="G14" i="5" s="1"/>
  <c r="M10" i="5"/>
  <c r="M12" i="5" s="1"/>
  <c r="M14" i="5" s="1"/>
  <c r="F8" i="6" l="1"/>
  <c r="F10" i="6" s="1"/>
  <c r="G5" i="6" l="1"/>
  <c r="F7" i="6"/>
  <c r="F9" i="6" s="1"/>
  <c r="G8" i="6" l="1"/>
  <c r="G10" i="6" s="1"/>
  <c r="H5" i="6" l="1"/>
  <c r="G7" i="6"/>
  <c r="G9" i="6" s="1"/>
  <c r="H8" i="6" l="1"/>
  <c r="H10" i="6" s="1"/>
  <c r="I5" i="6" l="1"/>
  <c r="H7" i="6"/>
  <c r="H9" i="6" s="1"/>
  <c r="I8" i="6" l="1"/>
  <c r="I10" i="6" s="1"/>
  <c r="J5" i="6" l="1"/>
  <c r="I7" i="6"/>
  <c r="I9" i="6" s="1"/>
  <c r="J8" i="6" l="1"/>
  <c r="J10" i="6" s="1"/>
  <c r="K5" i="6" l="1"/>
  <c r="J7" i="6"/>
  <c r="J9" i="6" s="1"/>
  <c r="K8" i="6" l="1"/>
  <c r="K10" i="6"/>
  <c r="L5" i="6" s="1"/>
  <c r="L8" i="6" l="1"/>
  <c r="L10" i="6"/>
  <c r="M5" i="6" s="1"/>
  <c r="K7" i="6"/>
  <c r="K9" i="6" s="1"/>
  <c r="M8" i="6" l="1"/>
  <c r="M10" i="6" s="1"/>
  <c r="L7" i="6"/>
  <c r="L9" i="6" s="1"/>
  <c r="N5" i="6" l="1"/>
  <c r="M7" i="6"/>
  <c r="M9" i="6" s="1"/>
  <c r="N8" i="6" l="1"/>
  <c r="N10" i="6" s="1"/>
  <c r="O5" i="6" l="1"/>
  <c r="N7" i="6"/>
  <c r="N9" i="6" s="1"/>
  <c r="O8" i="6" l="1"/>
  <c r="O10" i="6"/>
  <c r="P5" i="6" s="1"/>
  <c r="O7" i="6"/>
  <c r="O9" i="6" s="1"/>
  <c r="P8" i="6" l="1"/>
  <c r="P10" i="6"/>
  <c r="Q5" i="6" s="1"/>
  <c r="Q8" i="6" l="1"/>
  <c r="Q10" i="6"/>
  <c r="R5" i="6" s="1"/>
  <c r="P7" i="6"/>
  <c r="P9" i="6" s="1"/>
  <c r="R8" i="6" l="1"/>
  <c r="R10" i="6"/>
  <c r="S5" i="6" s="1"/>
  <c r="R7" i="6"/>
  <c r="R9" i="6" s="1"/>
  <c r="Q7" i="6"/>
  <c r="Q9" i="6" s="1"/>
  <c r="S10" i="6" l="1"/>
  <c r="T5" i="6" s="1"/>
  <c r="S7" i="6"/>
  <c r="S9" i="6" s="1"/>
  <c r="T10" i="6" l="1"/>
  <c r="U5" i="6" s="1"/>
  <c r="U10" i="6" l="1"/>
  <c r="V5" i="6" s="1"/>
  <c r="T7" i="6"/>
  <c r="T9" i="6" s="1"/>
  <c r="V10" i="6" l="1"/>
  <c r="W5" i="6" s="1"/>
  <c r="V7" i="6"/>
  <c r="V9" i="6" s="1"/>
  <c r="U7" i="6"/>
  <c r="U9" i="6" s="1"/>
  <c r="W10" i="6" l="1"/>
  <c r="X5" i="6" s="1"/>
  <c r="X10" i="6" l="1"/>
  <c r="Y5" i="6" s="1"/>
  <c r="X7" i="6"/>
  <c r="X9" i="6" s="1"/>
  <c r="W7" i="6"/>
  <c r="W9" i="6" s="1"/>
  <c r="Y10" i="6" l="1"/>
  <c r="Z5" i="6" s="1"/>
  <c r="Y7" i="6" l="1"/>
  <c r="Y9" i="6" s="1"/>
  <c r="Z10" i="6"/>
  <c r="AA5" i="6" s="1"/>
  <c r="Z7" i="6"/>
  <c r="Z9" i="6" s="1"/>
  <c r="AA10" i="6" l="1"/>
  <c r="AB5" i="6" s="1"/>
  <c r="AA7" i="6"/>
  <c r="AA9" i="6" s="1"/>
  <c r="AB10" i="6" l="1"/>
  <c r="AB7" i="6"/>
  <c r="AB9" i="6" s="1"/>
</calcChain>
</file>

<file path=xl/sharedStrings.xml><?xml version="1.0" encoding="utf-8"?>
<sst xmlns="http://schemas.openxmlformats.org/spreadsheetml/2006/main" count="112" uniqueCount="82">
  <si>
    <t>Solar Farm Project Finance Model</t>
  </si>
  <si>
    <t>Project: 50 MW solar farm</t>
  </si>
  <si>
    <t>Purpose: asses debt capacity and equity returns</t>
  </si>
  <si>
    <t>Model type: project finance model</t>
  </si>
  <si>
    <t>Key outputs</t>
  </si>
  <si>
    <t>Total capex</t>
  </si>
  <si>
    <t>Total debt</t>
  </si>
  <si>
    <t>Total equity</t>
  </si>
  <si>
    <t>Minimum DCSR</t>
  </si>
  <si>
    <t>Average DCSR</t>
  </si>
  <si>
    <t>LLCR</t>
  </si>
  <si>
    <t>Equity IRR</t>
  </si>
  <si>
    <t>Project IRR</t>
  </si>
  <si>
    <t>Solar Farm Inputs</t>
  </si>
  <si>
    <t>Project life</t>
  </si>
  <si>
    <t>Capacity MW</t>
  </si>
  <si>
    <t>Capex per MW</t>
  </si>
  <si>
    <t>Annual degradation</t>
  </si>
  <si>
    <t>PPA price per MWh</t>
  </si>
  <si>
    <t>PPA escalation</t>
  </si>
  <si>
    <t>Opex per MW</t>
  </si>
  <si>
    <t xml:space="preserve">Construction years </t>
  </si>
  <si>
    <t>Capacity factor</t>
  </si>
  <si>
    <t>Opex escalation</t>
  </si>
  <si>
    <t>Debt percentage</t>
  </si>
  <si>
    <t>Equity percentage</t>
  </si>
  <si>
    <t>Interest rate</t>
  </si>
  <si>
    <t>Debt tenor</t>
  </si>
  <si>
    <t>Tax rate</t>
  </si>
  <si>
    <t>LLCR discount rate</t>
  </si>
  <si>
    <t>All assumptions are illustrative and used for portfolio learning.</t>
  </si>
  <si>
    <t xml:space="preserve">Timeline </t>
  </si>
  <si>
    <t>Year</t>
  </si>
  <si>
    <t>Construction flag</t>
  </si>
  <si>
    <t>Operations flag</t>
  </si>
  <si>
    <t>Debt repayment flag</t>
  </si>
  <si>
    <t>Construction and Funding</t>
  </si>
  <si>
    <t>Capex spend</t>
  </si>
  <si>
    <t>Debt drawdown</t>
  </si>
  <si>
    <t>Equity contribution</t>
  </si>
  <si>
    <t>Funding Check</t>
  </si>
  <si>
    <t>Operations</t>
  </si>
  <si>
    <t>Gross generation MWh</t>
  </si>
  <si>
    <t>Degradation factor</t>
  </si>
  <si>
    <t>Net generation MWh</t>
  </si>
  <si>
    <t>PPA price</t>
  </si>
  <si>
    <t>Revenue</t>
  </si>
  <si>
    <t>Opex</t>
  </si>
  <si>
    <t>EBITDA</t>
  </si>
  <si>
    <t>Debt Schedule</t>
  </si>
  <si>
    <t>Opening debt</t>
  </si>
  <si>
    <t>Interest</t>
  </si>
  <si>
    <t>Principal repayment</t>
  </si>
  <si>
    <t>Debt service</t>
  </si>
  <si>
    <t>Closing debt</t>
  </si>
  <si>
    <t>Tax</t>
  </si>
  <si>
    <t>Taxable income</t>
  </si>
  <si>
    <t>Cash Flow</t>
  </si>
  <si>
    <t>CFADS</t>
  </si>
  <si>
    <t>Principal</t>
  </si>
  <si>
    <t>Cash after debt</t>
  </si>
  <si>
    <t>Equity Construction</t>
  </si>
  <si>
    <t>Equity cash flow</t>
  </si>
  <si>
    <t>Returns</t>
  </si>
  <si>
    <t>DSCR</t>
  </si>
  <si>
    <t>Project cash flow</t>
  </si>
  <si>
    <t>Model Checks</t>
  </si>
  <si>
    <t>Funding check</t>
  </si>
  <si>
    <t>Final debt check</t>
  </si>
  <si>
    <t>Minimum DSCR</t>
  </si>
  <si>
    <t>Value</t>
  </si>
  <si>
    <t>Status</t>
  </si>
  <si>
    <t>Scenario Analysis</t>
  </si>
  <si>
    <t>Scenario</t>
  </si>
  <si>
    <t>Capex change</t>
  </si>
  <si>
    <t>PPA price change</t>
  </si>
  <si>
    <t>Generation change</t>
  </si>
  <si>
    <t>Interest change</t>
  </si>
  <si>
    <t>Min DSCR</t>
  </si>
  <si>
    <t>Downside</t>
  </si>
  <si>
    <t>Basse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</si>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</sst>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9" fontId="0" fillId="2" borderId="0" xfId="0" applyNumberFormat="1" applyFill="1"/>
    <xf numFmtId="0" fontId="0" fillId="2" borderId="0" xfId="0" applyFill="1"/>
    <xf numFmtId="10" fontId="0" fillId="2" borderId="0" xfId="0" applyNumberFormat="1" applyFill="1"/>
    <xf numFmtId="0" fontId="0" fillId="0" borderId="0" xfId="0" quotePrefix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9" fontId="0" fillId="0" borderId="0" xfId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398F-D59A-4C1F-8310-25F679136970}">
  <dimension ref="B2:B15"/>
  <sheetViews>
    <sheetView topLeftCell="A10" workbookViewId="0">
      <selection activeCell="B15" sqref="B15"/>
    </sheetView>
  </sheetViews>
  <sheetFormatPr defaultRowHeight="15" x14ac:dyDescent="0.25"/>
  <cols>
    <col min="2" max="2" width="42.85546875" customWidth="1"/>
  </cols>
  <sheetData>
    <row r="2" spans="2:2" x14ac:dyDescent="0.25">
      <c r="B2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6C1F-3DEE-4CB6-A0EF-9BE29879C0A3}">
  <dimension ref="A2:B22"/>
  <sheetViews>
    <sheetView workbookViewId="0">
      <selection activeCell="B12" sqref="B12"/>
    </sheetView>
  </sheetViews>
  <sheetFormatPr defaultRowHeight="15" x14ac:dyDescent="0.25"/>
  <cols>
    <col min="1" max="1" width="19" customWidth="1"/>
    <col min="2" max="2" width="11.5703125" bestFit="1" customWidth="1"/>
  </cols>
  <sheetData>
    <row r="2" spans="1:2" x14ac:dyDescent="0.25">
      <c r="A2" t="s">
        <v>13</v>
      </c>
    </row>
    <row r="4" spans="1:2" x14ac:dyDescent="0.25">
      <c r="A4" t="s">
        <v>14</v>
      </c>
      <c r="B4" s="3">
        <v>25</v>
      </c>
    </row>
    <row r="5" spans="1:2" x14ac:dyDescent="0.25">
      <c r="A5" t="s">
        <v>21</v>
      </c>
      <c r="B5" s="3">
        <v>1</v>
      </c>
    </row>
    <row r="6" spans="1:2" x14ac:dyDescent="0.25">
      <c r="A6" t="s">
        <v>15</v>
      </c>
      <c r="B6" s="3">
        <v>50</v>
      </c>
    </row>
    <row r="7" spans="1:2" x14ac:dyDescent="0.25">
      <c r="A7" t="s">
        <v>16</v>
      </c>
      <c r="B7" s="3">
        <v>750000</v>
      </c>
    </row>
    <row r="8" spans="1:2" x14ac:dyDescent="0.25">
      <c r="A8" t="s">
        <v>22</v>
      </c>
      <c r="B8" s="2">
        <v>0.17</v>
      </c>
    </row>
    <row r="9" spans="1:2" x14ac:dyDescent="0.25">
      <c r="A9" t="s">
        <v>17</v>
      </c>
      <c r="B9" s="4">
        <v>5.0000000000000001E-3</v>
      </c>
    </row>
    <row r="10" spans="1:2" x14ac:dyDescent="0.25">
      <c r="A10" t="s">
        <v>18</v>
      </c>
      <c r="B10" s="3">
        <v>65</v>
      </c>
    </row>
    <row r="11" spans="1:2" x14ac:dyDescent="0.25">
      <c r="A11" t="s">
        <v>19</v>
      </c>
      <c r="B11" s="2">
        <v>0.02</v>
      </c>
    </row>
    <row r="12" spans="1:2" x14ac:dyDescent="0.25">
      <c r="A12" t="s">
        <v>20</v>
      </c>
      <c r="B12" s="3">
        <v>15000</v>
      </c>
    </row>
    <row r="13" spans="1:2" x14ac:dyDescent="0.25">
      <c r="A13" t="s">
        <v>23</v>
      </c>
      <c r="B13" s="2">
        <v>0.02</v>
      </c>
    </row>
    <row r="14" spans="1:2" x14ac:dyDescent="0.25">
      <c r="A14" t="s">
        <v>24</v>
      </c>
      <c r="B14" s="4">
        <v>0.65</v>
      </c>
    </row>
    <row r="15" spans="1:2" x14ac:dyDescent="0.25">
      <c r="A15" t="s">
        <v>25</v>
      </c>
      <c r="B15" s="2">
        <v>0.35</v>
      </c>
    </row>
    <row r="16" spans="1:2" x14ac:dyDescent="0.25">
      <c r="A16" t="s">
        <v>26</v>
      </c>
      <c r="B16" s="4">
        <v>6.5000000000000002E-2</v>
      </c>
    </row>
    <row r="17" spans="1:2" x14ac:dyDescent="0.25">
      <c r="A17" t="s">
        <v>27</v>
      </c>
      <c r="B17" s="3">
        <v>15</v>
      </c>
    </row>
    <row r="18" spans="1:2" x14ac:dyDescent="0.25">
      <c r="A18" t="s">
        <v>28</v>
      </c>
      <c r="B18" s="4">
        <v>0.25</v>
      </c>
    </row>
    <row r="19" spans="1:2" x14ac:dyDescent="0.25">
      <c r="A19" t="s">
        <v>29</v>
      </c>
      <c r="B19" s="4">
        <v>6.5000000000000002E-2</v>
      </c>
    </row>
    <row r="22" spans="1:2" x14ac:dyDescent="0.25">
      <c r="A22" s="1" t="s">
        <v>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8A9-A552-404A-BBB2-83830D0B901D}">
  <dimension ref="B2:AB7"/>
  <sheetViews>
    <sheetView workbookViewId="0">
      <selection activeCell="C6" sqref="C6:AB6"/>
    </sheetView>
  </sheetViews>
  <sheetFormatPr defaultRowHeight="15" x14ac:dyDescent="0.25"/>
  <cols>
    <col min="2" max="2" width="18" customWidth="1"/>
  </cols>
  <sheetData>
    <row r="2" spans="2:28" x14ac:dyDescent="0.25">
      <c r="B2" t="s">
        <v>31</v>
      </c>
    </row>
    <row r="4" spans="2:28" x14ac:dyDescent="0.25">
      <c r="B4" t="s">
        <v>32</v>
      </c>
      <c r="C4">
        <v>0</v>
      </c>
      <c r="D4">
        <f>C4 + 1</f>
        <v>1</v>
      </c>
      <c r="E4">
        <f t="shared" ref="E4:AB4" si="0">D4 + 1</f>
        <v>2</v>
      </c>
      <c r="F4">
        <f t="shared" si="0"/>
        <v>3</v>
      </c>
      <c r="G4">
        <f t="shared" si="0"/>
        <v>4</v>
      </c>
      <c r="H4">
        <f t="shared" si="0"/>
        <v>5</v>
      </c>
      <c r="I4">
        <f t="shared" si="0"/>
        <v>6</v>
      </c>
      <c r="J4">
        <f t="shared" si="0"/>
        <v>7</v>
      </c>
      <c r="K4">
        <f t="shared" si="0"/>
        <v>8</v>
      </c>
      <c r="L4">
        <f t="shared" si="0"/>
        <v>9</v>
      </c>
      <c r="M4">
        <f t="shared" si="0"/>
        <v>10</v>
      </c>
      <c r="N4">
        <f t="shared" si="0"/>
        <v>11</v>
      </c>
      <c r="O4">
        <f t="shared" si="0"/>
        <v>12</v>
      </c>
      <c r="P4">
        <f t="shared" si="0"/>
        <v>13</v>
      </c>
      <c r="Q4">
        <f t="shared" si="0"/>
        <v>14</v>
      </c>
      <c r="R4">
        <f t="shared" si="0"/>
        <v>15</v>
      </c>
      <c r="S4">
        <f t="shared" si="0"/>
        <v>16</v>
      </c>
      <c r="T4">
        <f t="shared" si="0"/>
        <v>17</v>
      </c>
      <c r="U4">
        <f t="shared" si="0"/>
        <v>18</v>
      </c>
      <c r="V4">
        <f t="shared" si="0"/>
        <v>19</v>
      </c>
      <c r="W4">
        <f t="shared" si="0"/>
        <v>20</v>
      </c>
      <c r="X4">
        <f t="shared" si="0"/>
        <v>21</v>
      </c>
      <c r="Y4">
        <f t="shared" si="0"/>
        <v>22</v>
      </c>
      <c r="Z4">
        <f t="shared" si="0"/>
        <v>23</v>
      </c>
      <c r="AA4">
        <f t="shared" si="0"/>
        <v>24</v>
      </c>
      <c r="AB4">
        <f t="shared" si="0"/>
        <v>25</v>
      </c>
    </row>
    <row r="5" spans="2:28" x14ac:dyDescent="0.25">
      <c r="B5" t="s">
        <v>33</v>
      </c>
      <c r="C5">
        <f>IF(C$4&lt;'01 Inputs'!$B$5,1,0)</f>
        <v>1</v>
      </c>
      <c r="D5">
        <f>IF(D$4&lt;'01 Inputs'!$B$5,1,0)</f>
        <v>0</v>
      </c>
      <c r="E5">
        <f>IF(E$4&lt;'01 Inputs'!$B$5,1,0)</f>
        <v>0</v>
      </c>
      <c r="F5">
        <f>IF(F$4&lt;'01 Inputs'!$B$5,1,0)</f>
        <v>0</v>
      </c>
      <c r="G5">
        <f>IF(G$4&lt;'01 Inputs'!$B$5,1,0)</f>
        <v>0</v>
      </c>
      <c r="H5">
        <f>IF(H$4&lt;'01 Inputs'!$B$5,1,0)</f>
        <v>0</v>
      </c>
      <c r="I5">
        <f>IF(I$4&lt;'01 Inputs'!$B$5,1,0)</f>
        <v>0</v>
      </c>
      <c r="J5">
        <f>IF(J$4&lt;'01 Inputs'!$B$5,1,0)</f>
        <v>0</v>
      </c>
      <c r="K5">
        <f>IF(K$4&lt;'01 Inputs'!$B$5,1,0)</f>
        <v>0</v>
      </c>
      <c r="L5">
        <f>IF(L$4&lt;'01 Inputs'!$B$5,1,0)</f>
        <v>0</v>
      </c>
      <c r="M5">
        <f>IF(M$4&lt;'01 Inputs'!$B$5,1,0)</f>
        <v>0</v>
      </c>
      <c r="N5">
        <f>IF(N$4&lt;'01 Inputs'!$B$5,1,0)</f>
        <v>0</v>
      </c>
      <c r="O5">
        <f>IF(O$4&lt;'01 Inputs'!$B$5,1,0)</f>
        <v>0</v>
      </c>
      <c r="P5">
        <f>IF(P$4&lt;'01 Inputs'!$B$5,1,0)</f>
        <v>0</v>
      </c>
      <c r="Q5">
        <f>IF(Q$4&lt;'01 Inputs'!$B$5,1,0)</f>
        <v>0</v>
      </c>
      <c r="R5">
        <f>IF(R$4&lt;'01 Inputs'!$B$5,1,0)</f>
        <v>0</v>
      </c>
      <c r="S5">
        <f>IF(S$4&lt;'01 Inputs'!$B$5,1,0)</f>
        <v>0</v>
      </c>
      <c r="T5">
        <f>IF(T$4&lt;'01 Inputs'!$B$5,1,0)</f>
        <v>0</v>
      </c>
      <c r="U5">
        <f>IF(U$4&lt;'01 Inputs'!$B$5,1,0)</f>
        <v>0</v>
      </c>
      <c r="V5">
        <f>IF(V$4&lt;'01 Inputs'!$B$5,1,0)</f>
        <v>0</v>
      </c>
      <c r="W5">
        <f>IF(W$4&lt;'01 Inputs'!$B$5,1,0)</f>
        <v>0</v>
      </c>
      <c r="X5">
        <f>IF(X$4&lt;'01 Inputs'!$B$5,1,0)</f>
        <v>0</v>
      </c>
      <c r="Y5">
        <f>IF(Y$4&lt;'01 Inputs'!$B$5,1,0)</f>
        <v>0</v>
      </c>
      <c r="Z5">
        <f>IF(Z$4&lt;'01 Inputs'!$B$5,1,0)</f>
        <v>0</v>
      </c>
      <c r="AA5">
        <f>IF(AA$4&lt;'01 Inputs'!$B$5,1,0)</f>
        <v>0</v>
      </c>
      <c r="AB5">
        <f>IF(AB$4&lt;'01 Inputs'!$B$5,1,0)</f>
        <v>0</v>
      </c>
    </row>
    <row r="6" spans="2:28" x14ac:dyDescent="0.25">
      <c r="B6" t="s">
        <v>34</v>
      </c>
      <c r="C6">
        <f>IF(C$4&gt;='01 Inputs'!$B$5,1,0)</f>
        <v>0</v>
      </c>
      <c r="D6">
        <f>IF(D$4&gt;='01 Inputs'!$B$5,1,0)</f>
        <v>1</v>
      </c>
      <c r="E6">
        <f>IF(E$4&gt;='01 Inputs'!$B$5,1,0)</f>
        <v>1</v>
      </c>
      <c r="F6">
        <f>IF(F$4&gt;='01 Inputs'!$B$5,1,0)</f>
        <v>1</v>
      </c>
      <c r="G6">
        <f>IF(G$4&gt;='01 Inputs'!$B$5,1,0)</f>
        <v>1</v>
      </c>
      <c r="H6">
        <f>IF(H$4&gt;='01 Inputs'!$B$5,1,0)</f>
        <v>1</v>
      </c>
      <c r="I6">
        <f>IF(I$4&gt;='01 Inputs'!$B$5,1,0)</f>
        <v>1</v>
      </c>
      <c r="J6">
        <f>IF(J$4&gt;='01 Inputs'!$B$5,1,0)</f>
        <v>1</v>
      </c>
      <c r="K6">
        <f>IF(K$4&gt;='01 Inputs'!$B$5,1,0)</f>
        <v>1</v>
      </c>
      <c r="L6">
        <f>IF(L$4&gt;='01 Inputs'!$B$5,1,0)</f>
        <v>1</v>
      </c>
      <c r="M6">
        <f>IF(M$4&gt;='01 Inputs'!$B$5,1,0)</f>
        <v>1</v>
      </c>
      <c r="N6">
        <f>IF(N$4&gt;='01 Inputs'!$B$5,1,0)</f>
        <v>1</v>
      </c>
      <c r="O6">
        <f>IF(O$4&gt;='01 Inputs'!$B$5,1,0)</f>
        <v>1</v>
      </c>
      <c r="P6">
        <f>IF(P$4&gt;='01 Inputs'!$B$5,1,0)</f>
        <v>1</v>
      </c>
      <c r="Q6">
        <f>IF(Q$4&gt;='01 Inputs'!$B$5,1,0)</f>
        <v>1</v>
      </c>
      <c r="R6">
        <f>IF(R$4&gt;='01 Inputs'!$B$5,1,0)</f>
        <v>1</v>
      </c>
      <c r="S6">
        <f>IF(S$4&gt;='01 Inputs'!$B$5,1,0)</f>
        <v>1</v>
      </c>
      <c r="T6">
        <f>IF(T$4&gt;='01 Inputs'!$B$5,1,0)</f>
        <v>1</v>
      </c>
      <c r="U6">
        <f>IF(U$4&gt;='01 Inputs'!$B$5,1,0)</f>
        <v>1</v>
      </c>
      <c r="V6">
        <f>IF(V$4&gt;='01 Inputs'!$B$5,1,0)</f>
        <v>1</v>
      </c>
      <c r="W6">
        <f>IF(W$4&gt;='01 Inputs'!$B$5,1,0)</f>
        <v>1</v>
      </c>
      <c r="X6">
        <f>IF(X$4&gt;='01 Inputs'!$B$5,1,0)</f>
        <v>1</v>
      </c>
      <c r="Y6">
        <f>IF(Y$4&gt;='01 Inputs'!$B$5,1,0)</f>
        <v>1</v>
      </c>
      <c r="Z6">
        <f>IF(Z$4&gt;='01 Inputs'!$B$5,1,0)</f>
        <v>1</v>
      </c>
      <c r="AA6">
        <f>IF(AA$4&gt;='01 Inputs'!$B$5,1,0)</f>
        <v>1</v>
      </c>
      <c r="AB6">
        <f>IF(AB$4&gt;='01 Inputs'!$B$5,1,0)</f>
        <v>1</v>
      </c>
    </row>
    <row r="7" spans="2:28" x14ac:dyDescent="0.25">
      <c r="B7" t="s">
        <v>35</v>
      </c>
      <c r="C7">
        <f>IF(AND(C$4&gt;='01 Inputs'!$B$5,C$4&lt;='01 Inputs'!$B$17),1,0)</f>
        <v>0</v>
      </c>
      <c r="D7">
        <f>IF(AND(D$4&gt;='01 Inputs'!$B$5,D$4&lt;='01 Inputs'!$B$17),1,0)</f>
        <v>1</v>
      </c>
      <c r="E7">
        <f>IF(AND(E$4&gt;='01 Inputs'!$B$5,E$4&lt;='01 Inputs'!$B$17),1,0)</f>
        <v>1</v>
      </c>
      <c r="F7">
        <f>IF(AND(F$4&gt;='01 Inputs'!$B$5,F$4&lt;='01 Inputs'!$B$17),1,0)</f>
        <v>1</v>
      </c>
      <c r="G7">
        <f>IF(AND(G$4&gt;='01 Inputs'!$B$5,G$4&lt;='01 Inputs'!$B$17),1,0)</f>
        <v>1</v>
      </c>
      <c r="H7">
        <f>IF(AND(H$4&gt;='01 Inputs'!$B$5,H$4&lt;='01 Inputs'!$B$17),1,0)</f>
        <v>1</v>
      </c>
      <c r="I7">
        <f>IF(AND(I$4&gt;='01 Inputs'!$B$5,I$4&lt;='01 Inputs'!$B$17),1,0)</f>
        <v>1</v>
      </c>
      <c r="J7">
        <f>IF(AND(J$4&gt;='01 Inputs'!$B$5,J$4&lt;='01 Inputs'!$B$17),1,0)</f>
        <v>1</v>
      </c>
      <c r="K7">
        <f>IF(AND(K$4&gt;='01 Inputs'!$B$5,K$4&lt;='01 Inputs'!$B$17),1,0)</f>
        <v>1</v>
      </c>
      <c r="L7">
        <f>IF(AND(L$4&gt;='01 Inputs'!$B$5,L$4&lt;='01 Inputs'!$B$17),1,0)</f>
        <v>1</v>
      </c>
      <c r="M7">
        <f>IF(AND(M$4&gt;='01 Inputs'!$B$5,M$4&lt;='01 Inputs'!$B$17),1,0)</f>
        <v>1</v>
      </c>
      <c r="N7">
        <f>IF(AND(N$4&gt;='01 Inputs'!$B$5,N$4&lt;='01 Inputs'!$B$17),1,0)</f>
        <v>1</v>
      </c>
      <c r="O7">
        <f>IF(AND(O$4&gt;='01 Inputs'!$B$5,O$4&lt;='01 Inputs'!$B$17),1,0)</f>
        <v>1</v>
      </c>
      <c r="P7">
        <f>IF(AND(P$4&gt;='01 Inputs'!$B$5,P$4&lt;='01 Inputs'!$B$17),1,0)</f>
        <v>1</v>
      </c>
      <c r="Q7">
        <f>IF(AND(Q$4&gt;='01 Inputs'!$B$5,Q$4&lt;='01 Inputs'!$B$17),1,0)</f>
        <v>1</v>
      </c>
      <c r="R7">
        <f>IF(AND(R$4&gt;='01 Inputs'!$B$5,R$4&lt;='01 Inputs'!$B$17),1,0)</f>
        <v>1</v>
      </c>
      <c r="S7">
        <f>IF(AND(S$4&gt;='01 Inputs'!$B$5,S$4&lt;='01 Inputs'!$B$17),1,0)</f>
        <v>0</v>
      </c>
      <c r="T7">
        <f>IF(AND(T$4&gt;='01 Inputs'!$B$5,T$4&lt;='01 Inputs'!$B$17),1,0)</f>
        <v>0</v>
      </c>
      <c r="U7">
        <f>IF(AND(U$4&gt;='01 Inputs'!$B$5,U$4&lt;='01 Inputs'!$B$17),1,0)</f>
        <v>0</v>
      </c>
      <c r="V7">
        <f>IF(AND(V$4&gt;='01 Inputs'!$B$5,V$4&lt;='01 Inputs'!$B$17),1,0)</f>
        <v>0</v>
      </c>
      <c r="W7">
        <f>IF(AND(W$4&gt;='01 Inputs'!$B$5,W$4&lt;='01 Inputs'!$B$17),1,0)</f>
        <v>0</v>
      </c>
      <c r="X7">
        <f>IF(AND(X$4&gt;='01 Inputs'!$B$5,X$4&lt;='01 Inputs'!$B$17),1,0)</f>
        <v>0</v>
      </c>
      <c r="Y7">
        <f>IF(AND(Y$4&gt;='01 Inputs'!$B$5,Y$4&lt;='01 Inputs'!$B$17),1,0)</f>
        <v>0</v>
      </c>
      <c r="Z7">
        <f>IF(AND(Z$4&gt;='01 Inputs'!$B$5,Z$4&lt;='01 Inputs'!$B$17),1,0)</f>
        <v>0</v>
      </c>
      <c r="AA7">
        <f>IF(AND(AA$4&gt;='01 Inputs'!$B$5,AA$4&lt;='01 Inputs'!$B$17),1,0)</f>
        <v>0</v>
      </c>
      <c r="AB7">
        <f>IF(AND(AB$4&gt;='01 Inputs'!$B$5,AB$4&lt;='01 Inputs'!$B$17),1,0)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B0BF-005E-42B5-999C-1B5A1FA8E352}">
  <dimension ref="B2:AB9"/>
  <sheetViews>
    <sheetView workbookViewId="0">
      <selection activeCell="D5" sqref="D5"/>
    </sheetView>
  </sheetViews>
  <sheetFormatPr defaultRowHeight="15" x14ac:dyDescent="0.25"/>
  <cols>
    <col min="2" max="2" width="27.5703125" customWidth="1"/>
  </cols>
  <sheetData>
    <row r="2" spans="2:28" x14ac:dyDescent="0.25">
      <c r="B2" t="s">
        <v>36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</v>
      </c>
      <c r="C5" s="5">
        <f>'01 Inputs'!$B$6*'01 Inputs'!$B$7</f>
        <v>37500000</v>
      </c>
      <c r="D5" s="5">
        <f>'01 Inputs'!$B$6*'01 Inputs'!$B$7</f>
        <v>37500000</v>
      </c>
      <c r="E5" s="5">
        <f>'01 Inputs'!$B$6*'01 Inputs'!$B$7</f>
        <v>37500000</v>
      </c>
      <c r="F5" s="5">
        <f>'01 Inputs'!$B$6*'01 Inputs'!$B$7</f>
        <v>37500000</v>
      </c>
      <c r="G5" s="5">
        <f>'01 Inputs'!$B$6*'01 Inputs'!$B$7</f>
        <v>37500000</v>
      </c>
      <c r="H5" s="5">
        <f>'01 Inputs'!$B$6*'01 Inputs'!$B$7</f>
        <v>37500000</v>
      </c>
      <c r="I5" s="5">
        <f>'01 Inputs'!$B$6*'01 Inputs'!$B$7</f>
        <v>37500000</v>
      </c>
      <c r="J5" s="5">
        <f>'01 Inputs'!$B$6*'01 Inputs'!$B$7</f>
        <v>37500000</v>
      </c>
      <c r="K5" s="5">
        <f>'01 Inputs'!$B$6*'01 Inputs'!$B$7</f>
        <v>37500000</v>
      </c>
      <c r="L5" s="5">
        <f>'01 Inputs'!$B$6*'01 Inputs'!$B$7</f>
        <v>37500000</v>
      </c>
      <c r="M5" s="5">
        <f>'01 Inputs'!$B$6*'01 Inputs'!$B$7</f>
        <v>37500000</v>
      </c>
      <c r="N5" s="5">
        <f>'01 Inputs'!$B$6*'01 Inputs'!$B$7</f>
        <v>37500000</v>
      </c>
      <c r="O5" s="5">
        <f>'01 Inputs'!$B$6*'01 Inputs'!$B$7</f>
        <v>37500000</v>
      </c>
      <c r="P5" s="5">
        <f>'01 Inputs'!$B$6*'01 Inputs'!$B$7</f>
        <v>37500000</v>
      </c>
      <c r="Q5" s="5">
        <f>'01 Inputs'!$B$6*'01 Inputs'!$B$7</f>
        <v>37500000</v>
      </c>
      <c r="R5" s="5">
        <f>'01 Inputs'!$B$6*'01 Inputs'!$B$7</f>
        <v>37500000</v>
      </c>
      <c r="S5" s="5">
        <f>'01 Inputs'!$B$6*'01 Inputs'!$B$7</f>
        <v>37500000</v>
      </c>
      <c r="T5" s="5">
        <f>'01 Inputs'!$B$6*'01 Inputs'!$B$7</f>
        <v>37500000</v>
      </c>
      <c r="U5" s="5">
        <f>'01 Inputs'!$B$6*'01 Inputs'!$B$7</f>
        <v>37500000</v>
      </c>
      <c r="V5" s="5">
        <f>'01 Inputs'!$B$6*'01 Inputs'!$B$7</f>
        <v>37500000</v>
      </c>
      <c r="W5" s="5">
        <f>'01 Inputs'!$B$6*'01 Inputs'!$B$7</f>
        <v>37500000</v>
      </c>
      <c r="X5" s="5">
        <f>'01 Inputs'!$B$6*'01 Inputs'!$B$7</f>
        <v>37500000</v>
      </c>
      <c r="Y5" s="5">
        <f>'01 Inputs'!$B$6*'01 Inputs'!$B$7</f>
        <v>37500000</v>
      </c>
      <c r="Z5" s="5">
        <f>'01 Inputs'!$B$6*'01 Inputs'!$B$7</f>
        <v>37500000</v>
      </c>
      <c r="AA5" s="5">
        <f>'01 Inputs'!$B$6*'01 Inputs'!$B$7</f>
        <v>37500000</v>
      </c>
      <c r="AB5" s="5">
        <f>'01 Inputs'!$B$6*'01 Inputs'!$B$7</f>
        <v>37500000</v>
      </c>
    </row>
    <row r="6" spans="2:28" x14ac:dyDescent="0.25">
      <c r="B6" t="s">
        <v>37</v>
      </c>
      <c r="C6">
        <f>C$5/'01 Inputs'!$B$5*'02 Timeline'!C5</f>
        <v>37500000</v>
      </c>
      <c r="D6">
        <f>D$5/'01 Inputs'!$B$5*'02 Timeline'!D5</f>
        <v>0</v>
      </c>
      <c r="E6">
        <f>E$5/'01 Inputs'!$B$5*'02 Timeline'!E5</f>
        <v>0</v>
      </c>
      <c r="F6">
        <f>F$5/'01 Inputs'!$B$5*'02 Timeline'!F5</f>
        <v>0</v>
      </c>
      <c r="G6">
        <f>G$5/'01 Inputs'!$B$5*'02 Timeline'!G5</f>
        <v>0</v>
      </c>
      <c r="H6">
        <f>H$5/'01 Inputs'!$B$5*'02 Timeline'!H5</f>
        <v>0</v>
      </c>
      <c r="I6">
        <f>I$5/'01 Inputs'!$B$5*'02 Timeline'!I5</f>
        <v>0</v>
      </c>
      <c r="J6">
        <f>J$5/'01 Inputs'!$B$5*'02 Timeline'!J5</f>
        <v>0</v>
      </c>
      <c r="K6">
        <f>K$5/'01 Inputs'!$B$5*'02 Timeline'!K5</f>
        <v>0</v>
      </c>
      <c r="L6">
        <f>L$5/'01 Inputs'!$B$5*'02 Timeline'!L5</f>
        <v>0</v>
      </c>
      <c r="M6">
        <f>M$5/'01 Inputs'!$B$5*'02 Timeline'!M5</f>
        <v>0</v>
      </c>
      <c r="N6">
        <f>N$5/'01 Inputs'!$B$5*'02 Timeline'!N5</f>
        <v>0</v>
      </c>
      <c r="O6">
        <f>O$5/'01 Inputs'!$B$5*'02 Timeline'!O5</f>
        <v>0</v>
      </c>
      <c r="P6">
        <f>P$5/'01 Inputs'!$B$5*'02 Timeline'!P5</f>
        <v>0</v>
      </c>
      <c r="Q6">
        <f>Q$5/'01 Inputs'!$B$5*'02 Timeline'!Q5</f>
        <v>0</v>
      </c>
      <c r="R6">
        <f>R$5/'01 Inputs'!$B$5*'02 Timeline'!R5</f>
        <v>0</v>
      </c>
      <c r="S6">
        <f>S$5/'01 Inputs'!$B$5*'02 Timeline'!S5</f>
        <v>0</v>
      </c>
      <c r="T6">
        <f>T$5/'01 Inputs'!$B$5*'02 Timeline'!T5</f>
        <v>0</v>
      </c>
      <c r="U6">
        <f>U$5/'01 Inputs'!$B$5*'02 Timeline'!U5</f>
        <v>0</v>
      </c>
      <c r="V6">
        <f>V$5/'01 Inputs'!$B$5*'02 Timeline'!V5</f>
        <v>0</v>
      </c>
      <c r="W6">
        <f>W$5/'01 Inputs'!$B$5*'02 Timeline'!W5</f>
        <v>0</v>
      </c>
      <c r="X6">
        <f>X$5/'01 Inputs'!$B$5*'02 Timeline'!X5</f>
        <v>0</v>
      </c>
      <c r="Y6">
        <f>Y$5/'01 Inputs'!$B$5*'02 Timeline'!Y5</f>
        <v>0</v>
      </c>
      <c r="Z6">
        <f>Z$5/'01 Inputs'!$B$5*'02 Timeline'!Z5</f>
        <v>0</v>
      </c>
      <c r="AA6">
        <f>AA$5/'01 Inputs'!$B$5*'02 Timeline'!AA5</f>
        <v>0</v>
      </c>
      <c r="AB6">
        <f>AB$5/'01 Inputs'!$B$5*'02 Timeline'!AB5</f>
        <v>0</v>
      </c>
    </row>
    <row r="7" spans="2:28" x14ac:dyDescent="0.25">
      <c r="B7" t="s">
        <v>38</v>
      </c>
      <c r="C7">
        <f>C6*'01 Inputs'!$B$14</f>
        <v>24375000</v>
      </c>
      <c r="D7">
        <f>D6*'01 Inputs'!$B$14</f>
        <v>0</v>
      </c>
      <c r="E7">
        <f>E6*'01 Inputs'!$B$14</f>
        <v>0</v>
      </c>
      <c r="F7">
        <f>F6*'01 Inputs'!$B$14</f>
        <v>0</v>
      </c>
      <c r="G7">
        <f>G6*'01 Inputs'!$B$14</f>
        <v>0</v>
      </c>
      <c r="H7">
        <f>H6*'01 Inputs'!$B$14</f>
        <v>0</v>
      </c>
      <c r="I7">
        <f>I6*'01 Inputs'!$B$14</f>
        <v>0</v>
      </c>
      <c r="J7">
        <f>J6*'01 Inputs'!$B$14</f>
        <v>0</v>
      </c>
      <c r="K7">
        <f>K6*'01 Inputs'!$B$14</f>
        <v>0</v>
      </c>
      <c r="L7">
        <f>L6*'01 Inputs'!$B$14</f>
        <v>0</v>
      </c>
      <c r="M7">
        <f>M6*'01 Inputs'!$B$14</f>
        <v>0</v>
      </c>
      <c r="N7">
        <f>N6*'01 Inputs'!$B$14</f>
        <v>0</v>
      </c>
      <c r="O7">
        <f>O6*'01 Inputs'!$B$14</f>
        <v>0</v>
      </c>
      <c r="P7">
        <f>P6*'01 Inputs'!$B$14</f>
        <v>0</v>
      </c>
      <c r="Q7">
        <f>Q6*'01 Inputs'!$B$14</f>
        <v>0</v>
      </c>
      <c r="R7">
        <f>R6*'01 Inputs'!$B$14</f>
        <v>0</v>
      </c>
      <c r="S7">
        <f>S6*'01 Inputs'!$B$14</f>
        <v>0</v>
      </c>
      <c r="T7">
        <f>T6*'01 Inputs'!$B$14</f>
        <v>0</v>
      </c>
      <c r="U7">
        <f>U6*'01 Inputs'!$B$14</f>
        <v>0</v>
      </c>
      <c r="V7">
        <f>V6*'01 Inputs'!$B$14</f>
        <v>0</v>
      </c>
      <c r="W7">
        <f>W6*'01 Inputs'!$B$14</f>
        <v>0</v>
      </c>
      <c r="X7">
        <f>X6*'01 Inputs'!$B$14</f>
        <v>0</v>
      </c>
      <c r="Y7">
        <f>Y6*'01 Inputs'!$B$14</f>
        <v>0</v>
      </c>
      <c r="Z7">
        <f>Z6*'01 Inputs'!$B$14</f>
        <v>0</v>
      </c>
      <c r="AA7">
        <f>AA6*'01 Inputs'!$B$14</f>
        <v>0</v>
      </c>
      <c r="AB7">
        <f>AB6*'01 Inputs'!$B$14</f>
        <v>0</v>
      </c>
    </row>
    <row r="8" spans="2:28" x14ac:dyDescent="0.25">
      <c r="B8" t="s">
        <v>39</v>
      </c>
      <c r="C8">
        <f>C6*'01 Inputs'!$B$15</f>
        <v>13125000</v>
      </c>
      <c r="D8">
        <f>D6*'01 Inputs'!$B$15</f>
        <v>0</v>
      </c>
      <c r="E8">
        <f>E6*'01 Inputs'!$B$15</f>
        <v>0</v>
      </c>
      <c r="F8">
        <f>F6*'01 Inputs'!$B$15</f>
        <v>0</v>
      </c>
      <c r="G8">
        <f>G6*'01 Inputs'!$B$15</f>
        <v>0</v>
      </c>
      <c r="H8">
        <f>H6*'01 Inputs'!$B$15</f>
        <v>0</v>
      </c>
      <c r="I8">
        <f>I6*'01 Inputs'!$B$15</f>
        <v>0</v>
      </c>
      <c r="J8">
        <f>J6*'01 Inputs'!$B$15</f>
        <v>0</v>
      </c>
      <c r="K8">
        <f>K6*'01 Inputs'!$B$15</f>
        <v>0</v>
      </c>
      <c r="L8">
        <f>L6*'01 Inputs'!$B$15</f>
        <v>0</v>
      </c>
      <c r="M8">
        <f>M6*'01 Inputs'!$B$15</f>
        <v>0</v>
      </c>
      <c r="N8">
        <f>N6*'01 Inputs'!$B$15</f>
        <v>0</v>
      </c>
      <c r="O8">
        <f>O6*'01 Inputs'!$B$15</f>
        <v>0</v>
      </c>
      <c r="P8">
        <f>P6*'01 Inputs'!$B$15</f>
        <v>0</v>
      </c>
      <c r="Q8">
        <f>Q6*'01 Inputs'!$B$15</f>
        <v>0</v>
      </c>
      <c r="R8">
        <f>R6*'01 Inputs'!$B$15</f>
        <v>0</v>
      </c>
      <c r="S8">
        <f>S6*'01 Inputs'!$B$15</f>
        <v>0</v>
      </c>
      <c r="T8">
        <f>T6*'01 Inputs'!$B$15</f>
        <v>0</v>
      </c>
      <c r="U8">
        <f>U6*'01 Inputs'!$B$15</f>
        <v>0</v>
      </c>
      <c r="V8">
        <f>V6*'01 Inputs'!$B$15</f>
        <v>0</v>
      </c>
      <c r="W8">
        <f>W6*'01 Inputs'!$B$15</f>
        <v>0</v>
      </c>
      <c r="X8">
        <f>X6*'01 Inputs'!$B$15</f>
        <v>0</v>
      </c>
      <c r="Y8">
        <f>Y6*'01 Inputs'!$B$15</f>
        <v>0</v>
      </c>
      <c r="Z8">
        <f>Z6*'01 Inputs'!$B$15</f>
        <v>0</v>
      </c>
      <c r="AA8">
        <f>AA6*'01 Inputs'!$B$15</f>
        <v>0</v>
      </c>
      <c r="AB8">
        <f>AB6*'01 Inputs'!$B$15</f>
        <v>0</v>
      </c>
    </row>
    <row r="9" spans="2:28" x14ac:dyDescent="0.25">
      <c r="B9" t="s">
        <v>40</v>
      </c>
      <c r="C9">
        <f>C6-C7-C8</f>
        <v>0</v>
      </c>
      <c r="D9">
        <f t="shared" ref="D9:AB9" si="0">D6-D7-D8</f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B56A-A926-4E9E-9632-DC0FB9F59941}">
  <dimension ref="B2:AB14"/>
  <sheetViews>
    <sheetView workbookViewId="0">
      <selection activeCell="D14" sqref="D14"/>
    </sheetView>
  </sheetViews>
  <sheetFormatPr defaultRowHeight="15" x14ac:dyDescent="0.25"/>
  <cols>
    <col min="2" max="2" width="22.7109375" customWidth="1"/>
    <col min="3" max="3" width="12.28515625" bestFit="1" customWidth="1"/>
  </cols>
  <sheetData>
    <row r="2" spans="2:28" x14ac:dyDescent="0.25">
      <c r="B2" t="s">
        <v>41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34</v>
      </c>
      <c r="C5">
        <f>'02 Timeline'!C6</f>
        <v>0</v>
      </c>
      <c r="D5">
        <f>'02 Timeline'!D6</f>
        <v>1</v>
      </c>
      <c r="E5">
        <f>'02 Timeline'!E6</f>
        <v>1</v>
      </c>
      <c r="F5">
        <f>'02 Timeline'!F6</f>
        <v>1</v>
      </c>
      <c r="G5">
        <f>'02 Timeline'!G6</f>
        <v>1</v>
      </c>
      <c r="H5">
        <f>'02 Timeline'!H6</f>
        <v>1</v>
      </c>
      <c r="I5">
        <f>'02 Timeline'!I6</f>
        <v>1</v>
      </c>
      <c r="J5">
        <f>'02 Timeline'!J6</f>
        <v>1</v>
      </c>
      <c r="K5">
        <f>'02 Timeline'!K6</f>
        <v>1</v>
      </c>
      <c r="L5">
        <f>'02 Timeline'!L6</f>
        <v>1</v>
      </c>
      <c r="M5">
        <f>'02 Timeline'!M6</f>
        <v>1</v>
      </c>
      <c r="N5">
        <f>'02 Timeline'!N6</f>
        <v>1</v>
      </c>
      <c r="O5">
        <f>'02 Timeline'!O6</f>
        <v>1</v>
      </c>
      <c r="P5">
        <f>'02 Timeline'!P6</f>
        <v>1</v>
      </c>
      <c r="Q5">
        <f>'02 Timeline'!Q6</f>
        <v>1</v>
      </c>
      <c r="R5">
        <f>'02 Timeline'!R6</f>
        <v>1</v>
      </c>
      <c r="S5">
        <f>'02 Timeline'!S6</f>
        <v>1</v>
      </c>
      <c r="T5">
        <f>'02 Timeline'!T6</f>
        <v>1</v>
      </c>
      <c r="U5">
        <f>'02 Timeline'!U6</f>
        <v>1</v>
      </c>
      <c r="V5">
        <f>'02 Timeline'!V6</f>
        <v>1</v>
      </c>
      <c r="W5">
        <f>'02 Timeline'!W6</f>
        <v>1</v>
      </c>
      <c r="X5">
        <f>'02 Timeline'!X6</f>
        <v>1</v>
      </c>
      <c r="Y5">
        <f>'02 Timeline'!Y6</f>
        <v>1</v>
      </c>
      <c r="Z5">
        <f>'02 Timeline'!Z6</f>
        <v>1</v>
      </c>
      <c r="AA5">
        <f>'02 Timeline'!AA6</f>
        <v>1</v>
      </c>
      <c r="AB5">
        <f>'02 Timeline'!AB6</f>
        <v>1</v>
      </c>
    </row>
    <row r="6" spans="2:28" x14ac:dyDescent="0.25">
      <c r="B6" t="s">
        <v>15</v>
      </c>
      <c r="C6" s="7">
        <f>'01 Inputs'!$B$6*C5</f>
        <v>0</v>
      </c>
      <c r="D6" s="7">
        <f>'01 Inputs'!$B$6*D5</f>
        <v>50</v>
      </c>
      <c r="E6" s="7">
        <f>'01 Inputs'!$B$6*E5</f>
        <v>50</v>
      </c>
      <c r="F6" s="7">
        <f>'01 Inputs'!$B$6*F5</f>
        <v>50</v>
      </c>
      <c r="G6" s="7">
        <f>'01 Inputs'!$B$6*G5</f>
        <v>50</v>
      </c>
      <c r="H6" s="7">
        <f>'01 Inputs'!$B$6*H5</f>
        <v>50</v>
      </c>
      <c r="I6" s="7">
        <f>'01 Inputs'!$B$6*I5</f>
        <v>50</v>
      </c>
      <c r="J6" s="7">
        <f>'01 Inputs'!$B$6*J5</f>
        <v>50</v>
      </c>
      <c r="K6" s="7">
        <f>'01 Inputs'!$B$6*K5</f>
        <v>50</v>
      </c>
      <c r="L6" s="7">
        <f>'01 Inputs'!$B$6*L5</f>
        <v>50</v>
      </c>
      <c r="M6" s="7">
        <f>'01 Inputs'!$B$6*M5</f>
        <v>50</v>
      </c>
      <c r="N6" s="7">
        <f>'01 Inputs'!$B$6*N5</f>
        <v>50</v>
      </c>
      <c r="O6" s="7">
        <f>'01 Inputs'!$B$6*O5</f>
        <v>50</v>
      </c>
      <c r="P6" s="7">
        <f>'01 Inputs'!$B$6*P5</f>
        <v>50</v>
      </c>
      <c r="Q6" s="7">
        <f>'01 Inputs'!$B$6*Q5</f>
        <v>50</v>
      </c>
      <c r="R6" s="7">
        <f>'01 Inputs'!$B$6*R5</f>
        <v>50</v>
      </c>
      <c r="S6" s="7">
        <f>'01 Inputs'!$B$6*S5</f>
        <v>50</v>
      </c>
      <c r="T6" s="7">
        <f>'01 Inputs'!$B$6*T5</f>
        <v>50</v>
      </c>
      <c r="U6" s="7">
        <f>'01 Inputs'!$B$6*U5</f>
        <v>50</v>
      </c>
      <c r="V6" s="7">
        <f>'01 Inputs'!$B$6*V5</f>
        <v>50</v>
      </c>
      <c r="W6" s="7">
        <f>'01 Inputs'!$B$6*W5</f>
        <v>50</v>
      </c>
      <c r="X6" s="7">
        <f>'01 Inputs'!$B$6*X5</f>
        <v>50</v>
      </c>
      <c r="Y6" s="7">
        <f>'01 Inputs'!$B$6*Y5</f>
        <v>50</v>
      </c>
      <c r="Z6" s="7">
        <f>'01 Inputs'!$B$6*Z5</f>
        <v>50</v>
      </c>
      <c r="AA6" s="7">
        <f>'01 Inputs'!$B$6*AA5</f>
        <v>50</v>
      </c>
      <c r="AB6" s="7">
        <f>'01 Inputs'!$B$6*AB5</f>
        <v>50</v>
      </c>
    </row>
    <row r="7" spans="2:28" x14ac:dyDescent="0.25">
      <c r="B7" t="s">
        <v>22</v>
      </c>
      <c r="C7" s="6">
        <f>'01 Inputs'!$B$8</f>
        <v>0.17</v>
      </c>
      <c r="D7" s="6">
        <f>'01 Inputs'!$B$8</f>
        <v>0.17</v>
      </c>
      <c r="E7" s="6">
        <f>'01 Inputs'!$B$8</f>
        <v>0.17</v>
      </c>
      <c r="F7" s="6">
        <f>'01 Inputs'!$B$8</f>
        <v>0.17</v>
      </c>
      <c r="G7" s="6">
        <f>'01 Inputs'!$B$8</f>
        <v>0.17</v>
      </c>
      <c r="H7" s="6">
        <f>'01 Inputs'!$B$8</f>
        <v>0.17</v>
      </c>
      <c r="I7" s="6">
        <f>'01 Inputs'!$B$8</f>
        <v>0.17</v>
      </c>
      <c r="J7" s="6">
        <f>'01 Inputs'!$B$8</f>
        <v>0.17</v>
      </c>
      <c r="K7" s="6">
        <f>'01 Inputs'!$B$8</f>
        <v>0.17</v>
      </c>
      <c r="L7" s="6">
        <f>'01 Inputs'!$B$8</f>
        <v>0.17</v>
      </c>
      <c r="M7" s="6">
        <f>'01 Inputs'!$B$8</f>
        <v>0.17</v>
      </c>
      <c r="N7" s="6">
        <f>'01 Inputs'!$B$8</f>
        <v>0.17</v>
      </c>
      <c r="O7" s="6">
        <f>'01 Inputs'!$B$8</f>
        <v>0.17</v>
      </c>
      <c r="P7" s="6">
        <f>'01 Inputs'!$B$8</f>
        <v>0.17</v>
      </c>
      <c r="Q7" s="6">
        <f>'01 Inputs'!$B$8</f>
        <v>0.17</v>
      </c>
      <c r="R7" s="6">
        <f>'01 Inputs'!$B$8</f>
        <v>0.17</v>
      </c>
      <c r="S7" s="6">
        <f>'01 Inputs'!$B$8</f>
        <v>0.17</v>
      </c>
      <c r="T7" s="6">
        <f>'01 Inputs'!$B$8</f>
        <v>0.17</v>
      </c>
      <c r="U7" s="6">
        <f>'01 Inputs'!$B$8</f>
        <v>0.17</v>
      </c>
      <c r="V7" s="6">
        <f>'01 Inputs'!$B$8</f>
        <v>0.17</v>
      </c>
      <c r="W7" s="6">
        <f>'01 Inputs'!$B$8</f>
        <v>0.17</v>
      </c>
      <c r="X7" s="6">
        <f>'01 Inputs'!$B$8</f>
        <v>0.17</v>
      </c>
      <c r="Y7" s="6">
        <f>'01 Inputs'!$B$8</f>
        <v>0.17</v>
      </c>
      <c r="Z7" s="6">
        <f>'01 Inputs'!$B$8</f>
        <v>0.17</v>
      </c>
      <c r="AA7" s="6">
        <f>'01 Inputs'!$B$8</f>
        <v>0.17</v>
      </c>
      <c r="AB7" s="6">
        <f>'01 Inputs'!$B$8</f>
        <v>0.17</v>
      </c>
    </row>
    <row r="8" spans="2:28" x14ac:dyDescent="0.25">
      <c r="B8" t="s">
        <v>42</v>
      </c>
      <c r="C8">
        <f>C6*8760*C7</f>
        <v>0</v>
      </c>
      <c r="D8">
        <f t="shared" ref="D8:AB8" si="0">D6*8760*D7</f>
        <v>74460</v>
      </c>
      <c r="E8">
        <f t="shared" si="0"/>
        <v>74460</v>
      </c>
      <c r="F8">
        <f t="shared" si="0"/>
        <v>74460</v>
      </c>
      <c r="G8">
        <f t="shared" si="0"/>
        <v>74460</v>
      </c>
      <c r="H8">
        <f t="shared" si="0"/>
        <v>74460</v>
      </c>
      <c r="I8">
        <f t="shared" si="0"/>
        <v>74460</v>
      </c>
      <c r="J8">
        <f t="shared" si="0"/>
        <v>74460</v>
      </c>
      <c r="K8">
        <f t="shared" si="0"/>
        <v>74460</v>
      </c>
      <c r="L8">
        <f t="shared" si="0"/>
        <v>74460</v>
      </c>
      <c r="M8">
        <f t="shared" si="0"/>
        <v>74460</v>
      </c>
      <c r="N8">
        <f t="shared" si="0"/>
        <v>74460</v>
      </c>
      <c r="O8">
        <f t="shared" si="0"/>
        <v>74460</v>
      </c>
      <c r="P8">
        <f t="shared" si="0"/>
        <v>74460</v>
      </c>
      <c r="Q8">
        <f t="shared" si="0"/>
        <v>74460</v>
      </c>
      <c r="R8">
        <f t="shared" si="0"/>
        <v>74460</v>
      </c>
      <c r="S8">
        <f t="shared" si="0"/>
        <v>74460</v>
      </c>
      <c r="T8">
        <f t="shared" si="0"/>
        <v>74460</v>
      </c>
      <c r="U8">
        <f t="shared" si="0"/>
        <v>74460</v>
      </c>
      <c r="V8">
        <f t="shared" si="0"/>
        <v>74460</v>
      </c>
      <c r="W8">
        <f t="shared" si="0"/>
        <v>74460</v>
      </c>
      <c r="X8">
        <f t="shared" si="0"/>
        <v>74460</v>
      </c>
      <c r="Y8">
        <f t="shared" si="0"/>
        <v>74460</v>
      </c>
      <c r="Z8">
        <f t="shared" si="0"/>
        <v>74460</v>
      </c>
      <c r="AA8">
        <f t="shared" si="0"/>
        <v>74460</v>
      </c>
      <c r="AB8">
        <f t="shared" si="0"/>
        <v>74460</v>
      </c>
    </row>
    <row r="9" spans="2:28" x14ac:dyDescent="0.25">
      <c r="B9" t="s">
        <v>43</v>
      </c>
      <c r="C9">
        <f>IF(C5=0,0,(1-'01 Inputs'!$B$9)^(C4-1))</f>
        <v>0</v>
      </c>
      <c r="D9">
        <f>IF(D5=0,0,(1-'01 Inputs'!$B$9)^(D4-1))</f>
        <v>1</v>
      </c>
      <c r="E9">
        <f>IF(E5=0,0,(1-'01 Inputs'!$B$9)^(E4-1))</f>
        <v>0.995</v>
      </c>
      <c r="F9">
        <f>IF(F5=0,0,(1-'01 Inputs'!$B$9)^(F4-1))</f>
        <v>0.99002500000000004</v>
      </c>
      <c r="G9">
        <f>IF(G5=0,0,(1-'01 Inputs'!$B$9)^(G4-1))</f>
        <v>0.98507487500000002</v>
      </c>
      <c r="H9">
        <f>IF(H5=0,0,(1-'01 Inputs'!$B$9)^(H4-1))</f>
        <v>0.98014950062500006</v>
      </c>
      <c r="I9">
        <f>IF(I5=0,0,(1-'01 Inputs'!$B$9)^(I4-1))</f>
        <v>0.97524875312187509</v>
      </c>
      <c r="J9">
        <f>IF(J5=0,0,(1-'01 Inputs'!$B$9)^(J4-1))</f>
        <v>0.97037250935626573</v>
      </c>
      <c r="K9">
        <f>IF(K5=0,0,(1-'01 Inputs'!$B$9)^(K4-1))</f>
        <v>0.96552064680948435</v>
      </c>
      <c r="L9">
        <f>IF(L5=0,0,(1-'01 Inputs'!$B$9)^(L4-1))</f>
        <v>0.96069304357543694</v>
      </c>
      <c r="M9">
        <f>IF(M5=0,0,(1-'01 Inputs'!$B$9)^(M4-1))</f>
        <v>0.95588957835755972</v>
      </c>
      <c r="N9">
        <f>IF(N5=0,0,(1-'01 Inputs'!$B$9)^(N4-1))</f>
        <v>0.95111013046577197</v>
      </c>
      <c r="O9">
        <f>IF(O5=0,0,(1-'01 Inputs'!$B$9)^(O4-1))</f>
        <v>0.94635457981344306</v>
      </c>
      <c r="P9">
        <f>IF(P5=0,0,(1-'01 Inputs'!$B$9)^(P4-1))</f>
        <v>0.94162280691437594</v>
      </c>
      <c r="Q9">
        <f>IF(Q5=0,0,(1-'01 Inputs'!$B$9)^(Q4-1))</f>
        <v>0.93691469287980411</v>
      </c>
      <c r="R9">
        <f>IF(R5=0,0,(1-'01 Inputs'!$B$9)^(R4-1))</f>
        <v>0.93223011941540512</v>
      </c>
      <c r="S9">
        <f>IF(S5=0,0,(1-'01 Inputs'!$B$9)^(S4-1))</f>
        <v>0.92756896881832807</v>
      </c>
      <c r="T9">
        <f>IF(T5=0,0,(1-'01 Inputs'!$B$9)^(T4-1))</f>
        <v>0.92293112397423638</v>
      </c>
      <c r="U9">
        <f>IF(U5=0,0,(1-'01 Inputs'!$B$9)^(U4-1))</f>
        <v>0.9183164683543652</v>
      </c>
      <c r="V9">
        <f>IF(V5=0,0,(1-'01 Inputs'!$B$9)^(V4-1))</f>
        <v>0.91372488601259338</v>
      </c>
      <c r="W9">
        <f>IF(W5=0,0,(1-'01 Inputs'!$B$9)^(W4-1))</f>
        <v>0.90915626158253038</v>
      </c>
      <c r="X9">
        <f>IF(X5=0,0,(1-'01 Inputs'!$B$9)^(X4-1))</f>
        <v>0.90461048027461777</v>
      </c>
      <c r="Y9">
        <f>IF(Y5=0,0,(1-'01 Inputs'!$B$9)^(Y4-1))</f>
        <v>0.90008742787324469</v>
      </c>
      <c r="Z9">
        <f>IF(Z5=0,0,(1-'01 Inputs'!$B$9)^(Z4-1))</f>
        <v>0.89558699073387849</v>
      </c>
      <c r="AA9">
        <f>IF(AA5=0,0,(1-'01 Inputs'!$B$9)^(AA4-1))</f>
        <v>0.89110905578020905</v>
      </c>
      <c r="AB9">
        <f>IF(AB5=0,0,(1-'01 Inputs'!$B$9)^(AB4-1))</f>
        <v>0.88665351050130803</v>
      </c>
    </row>
    <row r="10" spans="2:28" x14ac:dyDescent="0.25">
      <c r="B10" t="s">
        <v>44</v>
      </c>
      <c r="C10">
        <f>C8*C9</f>
        <v>0</v>
      </c>
      <c r="D10">
        <f t="shared" ref="D10:AB10" si="1">D8*D9</f>
        <v>74460</v>
      </c>
      <c r="E10">
        <f t="shared" si="1"/>
        <v>74087.7</v>
      </c>
      <c r="F10">
        <f t="shared" si="1"/>
        <v>73717.261500000008</v>
      </c>
      <c r="G10">
        <f t="shared" si="1"/>
        <v>73348.675192499999</v>
      </c>
      <c r="H10">
        <f t="shared" si="1"/>
        <v>72981.931816537501</v>
      </c>
      <c r="I10">
        <f t="shared" si="1"/>
        <v>72617.02215745482</v>
      </c>
      <c r="J10">
        <f t="shared" si="1"/>
        <v>72253.937046667546</v>
      </c>
      <c r="K10">
        <f t="shared" si="1"/>
        <v>71892.6673614342</v>
      </c>
      <c r="L10">
        <f t="shared" si="1"/>
        <v>71533.204024627034</v>
      </c>
      <c r="M10">
        <f t="shared" si="1"/>
        <v>71175.538004503891</v>
      </c>
      <c r="N10">
        <f t="shared" si="1"/>
        <v>70819.660314481385</v>
      </c>
      <c r="O10">
        <f t="shared" si="1"/>
        <v>70465.562012908966</v>
      </c>
      <c r="P10">
        <f t="shared" si="1"/>
        <v>70113.234202844425</v>
      </c>
      <c r="Q10">
        <f t="shared" si="1"/>
        <v>69762.66803183021</v>
      </c>
      <c r="R10">
        <f t="shared" si="1"/>
        <v>69413.854691671062</v>
      </c>
      <c r="S10">
        <f t="shared" si="1"/>
        <v>69066.785418212705</v>
      </c>
      <c r="T10">
        <f t="shared" si="1"/>
        <v>68721.451491121639</v>
      </c>
      <c r="U10">
        <f t="shared" si="1"/>
        <v>68377.844233666037</v>
      </c>
      <c r="V10">
        <f t="shared" si="1"/>
        <v>68035.95501249771</v>
      </c>
      <c r="W10">
        <f t="shared" si="1"/>
        <v>67695.775237435213</v>
      </c>
      <c r="X10">
        <f t="shared" si="1"/>
        <v>67357.296361248038</v>
      </c>
      <c r="Y10">
        <f t="shared" si="1"/>
        <v>67020.509879441801</v>
      </c>
      <c r="Z10">
        <f t="shared" si="1"/>
        <v>66685.407330044589</v>
      </c>
      <c r="AA10">
        <f t="shared" si="1"/>
        <v>66351.980293394372</v>
      </c>
      <c r="AB10">
        <f t="shared" si="1"/>
        <v>66020.220391927389</v>
      </c>
    </row>
    <row r="11" spans="2:28" x14ac:dyDescent="0.25">
      <c r="B11" t="s">
        <v>45</v>
      </c>
      <c r="C11">
        <f>IF(C5=0,0,'01 Inputs'!$B$10*(1+'01 Inputs'!$B$11)^(C4-1))</f>
        <v>0</v>
      </c>
      <c r="D11">
        <f>IF(D5=0,0,'01 Inputs'!$B$10*(1+'01 Inputs'!$B$11)^(D4-1))</f>
        <v>65</v>
      </c>
      <c r="E11">
        <f>IF(E5=0,0,'01 Inputs'!$B$10*(1+'01 Inputs'!$B$11)^(E4-1))</f>
        <v>66.3</v>
      </c>
      <c r="F11">
        <f>IF(F5=0,0,'01 Inputs'!$B$10*(1+'01 Inputs'!$B$11)^(F4-1))</f>
        <v>67.626000000000005</v>
      </c>
      <c r="G11">
        <f>IF(G5=0,0,'01 Inputs'!$B$10*(1+'01 Inputs'!$B$11)^(G4-1))</f>
        <v>68.978519999999989</v>
      </c>
      <c r="H11">
        <f>IF(H5=0,0,'01 Inputs'!$B$10*(1+'01 Inputs'!$B$11)^(H4-1))</f>
        <v>70.358090399999995</v>
      </c>
      <c r="I11">
        <f>IF(I5=0,0,'01 Inputs'!$B$10*(1+'01 Inputs'!$B$11)^(I4-1))</f>
        <v>71.765252208000007</v>
      </c>
      <c r="J11">
        <f>IF(J5=0,0,'01 Inputs'!$B$10*(1+'01 Inputs'!$B$11)^(J4-1))</f>
        <v>73.20055725216001</v>
      </c>
      <c r="K11">
        <f>IF(K5=0,0,'01 Inputs'!$B$10*(1+'01 Inputs'!$B$11)^(K4-1))</f>
        <v>74.664568397203183</v>
      </c>
      <c r="L11">
        <f>IF(L5=0,0,'01 Inputs'!$B$10*(1+'01 Inputs'!$B$11)^(L4-1))</f>
        <v>76.157859765147265</v>
      </c>
      <c r="M11">
        <f>IF(M5=0,0,'01 Inputs'!$B$10*(1+'01 Inputs'!$B$11)^(M4-1))</f>
        <v>77.681016960450208</v>
      </c>
      <c r="N11">
        <f>IF(N5=0,0,'01 Inputs'!$B$10*(1+'01 Inputs'!$B$11)^(N4-1))</f>
        <v>79.234637299659212</v>
      </c>
      <c r="O11">
        <f>IF(O5=0,0,'01 Inputs'!$B$10*(1+'01 Inputs'!$B$11)^(O4-1))</f>
        <v>80.819330045652379</v>
      </c>
      <c r="P11">
        <f>IF(P5=0,0,'01 Inputs'!$B$10*(1+'01 Inputs'!$B$11)^(P4-1))</f>
        <v>82.435716646565439</v>
      </c>
      <c r="Q11">
        <f>IF(Q5=0,0,'01 Inputs'!$B$10*(1+'01 Inputs'!$B$11)^(Q4-1))</f>
        <v>84.084430979496744</v>
      </c>
      <c r="R11">
        <f>IF(R5=0,0,'01 Inputs'!$B$10*(1+'01 Inputs'!$B$11)^(R4-1))</f>
        <v>85.766119599086693</v>
      </c>
      <c r="S11">
        <f>IF(S5=0,0,'01 Inputs'!$B$10*(1+'01 Inputs'!$B$11)^(S4-1))</f>
        <v>87.481441991068394</v>
      </c>
      <c r="T11">
        <f>IF(T5=0,0,'01 Inputs'!$B$10*(1+'01 Inputs'!$B$11)^(T4-1))</f>
        <v>89.231070830889777</v>
      </c>
      <c r="U11">
        <f>IF(U5=0,0,'01 Inputs'!$B$10*(1+'01 Inputs'!$B$11)^(U4-1))</f>
        <v>91.015692247507587</v>
      </c>
      <c r="V11">
        <f>IF(V5=0,0,'01 Inputs'!$B$10*(1+'01 Inputs'!$B$11)^(V4-1))</f>
        <v>92.836006092457723</v>
      </c>
      <c r="W11">
        <f>IF(W5=0,0,'01 Inputs'!$B$10*(1+'01 Inputs'!$B$11)^(W4-1))</f>
        <v>94.692726214306873</v>
      </c>
      <c r="X11">
        <f>IF(X5=0,0,'01 Inputs'!$B$10*(1+'01 Inputs'!$B$11)^(X4-1))</f>
        <v>96.586580738593028</v>
      </c>
      <c r="Y11">
        <f>IF(Y5=0,0,'01 Inputs'!$B$10*(1+'01 Inputs'!$B$11)^(Y4-1))</f>
        <v>98.518312353364877</v>
      </c>
      <c r="Z11">
        <f>IF(Z5=0,0,'01 Inputs'!$B$10*(1+'01 Inputs'!$B$11)^(Z4-1))</f>
        <v>100.48867860043218</v>
      </c>
      <c r="AA11">
        <f>IF(AA5=0,0,'01 Inputs'!$B$10*(1+'01 Inputs'!$B$11)^(AA4-1))</f>
        <v>102.49845217244081</v>
      </c>
      <c r="AB11">
        <f>IF(AB5=0,0,'01 Inputs'!$B$10*(1+'01 Inputs'!$B$11)^(AB4-1))</f>
        <v>104.54842121588963</v>
      </c>
    </row>
    <row r="12" spans="2:28" x14ac:dyDescent="0.25">
      <c r="B12" t="s">
        <v>46</v>
      </c>
      <c r="C12">
        <f>C10*C11</f>
        <v>0</v>
      </c>
      <c r="D12">
        <f t="shared" ref="D12:AB12" si="2">D10*D11</f>
        <v>4839900</v>
      </c>
      <c r="E12">
        <f t="shared" si="2"/>
        <v>4912014.51</v>
      </c>
      <c r="F12">
        <f t="shared" si="2"/>
        <v>4985203.5261990009</v>
      </c>
      <c r="G12">
        <f t="shared" si="2"/>
        <v>5059483.0587393641</v>
      </c>
      <c r="H12">
        <f t="shared" si="2"/>
        <v>5134869.3563145809</v>
      </c>
      <c r="I12">
        <f t="shared" si="2"/>
        <v>5211378.9097236702</v>
      </c>
      <c r="J12">
        <f t="shared" si="2"/>
        <v>5289028.4554785527</v>
      </c>
      <c r="K12">
        <f t="shared" si="2"/>
        <v>5367834.979465181</v>
      </c>
      <c r="L12">
        <f t="shared" si="2"/>
        <v>5447815.7206592131</v>
      </c>
      <c r="M12">
        <f t="shared" si="2"/>
        <v>5528988.1748970347</v>
      </c>
      <c r="N12">
        <f t="shared" si="2"/>
        <v>5611370.0987030016</v>
      </c>
      <c r="O12">
        <f t="shared" si="2"/>
        <v>5694979.5131736742</v>
      </c>
      <c r="P12">
        <f t="shared" si="2"/>
        <v>5779834.7079199636</v>
      </c>
      <c r="Q12">
        <f t="shared" si="2"/>
        <v>5865954.2450679708</v>
      </c>
      <c r="R12">
        <f t="shared" si="2"/>
        <v>5953356.9633194851</v>
      </c>
      <c r="S12">
        <f t="shared" si="2"/>
        <v>6042061.9820729429</v>
      </c>
      <c r="T12">
        <f t="shared" si="2"/>
        <v>6132088.705605831</v>
      </c>
      <c r="U12">
        <f t="shared" si="2"/>
        <v>6223456.8273193594</v>
      </c>
      <c r="V12">
        <f t="shared" si="2"/>
        <v>6316186.3340464169</v>
      </c>
      <c r="W12">
        <f t="shared" si="2"/>
        <v>6410297.5104237078</v>
      </c>
      <c r="X12">
        <f t="shared" si="2"/>
        <v>6505810.9433290223</v>
      </c>
      <c r="Y12">
        <f t="shared" si="2"/>
        <v>6602747.5263846237</v>
      </c>
      <c r="Z12">
        <f t="shared" si="2"/>
        <v>6701128.464527755</v>
      </c>
      <c r="AA12">
        <f t="shared" si="2"/>
        <v>6800975.2786492184</v>
      </c>
      <c r="AB12">
        <f t="shared" si="2"/>
        <v>6902309.8103010906</v>
      </c>
    </row>
    <row r="13" spans="2:28" x14ac:dyDescent="0.25">
      <c r="B13" t="s">
        <v>47</v>
      </c>
      <c r="C13">
        <f>IF(C5=1,'01 Inputs'!$B$6*'01 Inputs'!$B$12*(1+'01 Inputs'!$B$13)^(C4-'01 Inputs'!$B$5),0)</f>
        <v>0</v>
      </c>
      <c r="D13">
        <f>IF(D5=1,'01 Inputs'!$B$6*'01 Inputs'!$B$12*(1+'01 Inputs'!$B$13)^(D4-'01 Inputs'!$B$5),0)</f>
        <v>750000</v>
      </c>
      <c r="E13">
        <f>IF(E5=1,'01 Inputs'!$B$6*'01 Inputs'!$B$12*(1+'01 Inputs'!$B$13)^(E4-'01 Inputs'!$B$5),0)</f>
        <v>765000</v>
      </c>
      <c r="F13">
        <f>IF(F5=1,'01 Inputs'!$B$6*'01 Inputs'!$B$12*(1+'01 Inputs'!$B$13)^(F4-'01 Inputs'!$B$5),0)</f>
        <v>780300</v>
      </c>
      <c r="G13">
        <f>IF(G5=1,'01 Inputs'!$B$6*'01 Inputs'!$B$12*(1+'01 Inputs'!$B$13)^(G4-'01 Inputs'!$B$5),0)</f>
        <v>795906</v>
      </c>
      <c r="H13">
        <f>IF(H5=1,'01 Inputs'!$B$6*'01 Inputs'!$B$12*(1+'01 Inputs'!$B$13)^(H4-'01 Inputs'!$B$5),0)</f>
        <v>811824.12</v>
      </c>
      <c r="I13">
        <f>IF(I5=1,'01 Inputs'!$B$6*'01 Inputs'!$B$12*(1+'01 Inputs'!$B$13)^(I4-'01 Inputs'!$B$5),0)</f>
        <v>828060.60239999997</v>
      </c>
      <c r="J13">
        <f>IF(J5=1,'01 Inputs'!$B$6*'01 Inputs'!$B$12*(1+'01 Inputs'!$B$13)^(J4-'01 Inputs'!$B$5),0)</f>
        <v>844621.81444800005</v>
      </c>
      <c r="K13">
        <f>IF(K5=1,'01 Inputs'!$B$6*'01 Inputs'!$B$12*(1+'01 Inputs'!$B$13)^(K4-'01 Inputs'!$B$5),0)</f>
        <v>861514.25073695986</v>
      </c>
      <c r="L13">
        <f>IF(L5=1,'01 Inputs'!$B$6*'01 Inputs'!$B$12*(1+'01 Inputs'!$B$13)^(L4-'01 Inputs'!$B$5),0)</f>
        <v>878744.53575169912</v>
      </c>
      <c r="M13">
        <f>IF(M5=1,'01 Inputs'!$B$6*'01 Inputs'!$B$12*(1+'01 Inputs'!$B$13)^(M4-'01 Inputs'!$B$5),0)</f>
        <v>896319.4264667331</v>
      </c>
      <c r="N13">
        <f>IF(N5=1,'01 Inputs'!$B$6*'01 Inputs'!$B$12*(1+'01 Inputs'!$B$13)^(N4-'01 Inputs'!$B$5),0)</f>
        <v>914245.81499606778</v>
      </c>
      <c r="O13">
        <f>IF(O5=1,'01 Inputs'!$B$6*'01 Inputs'!$B$12*(1+'01 Inputs'!$B$13)^(O4-'01 Inputs'!$B$5),0)</f>
        <v>932530.73129598901</v>
      </c>
      <c r="P13">
        <f>IF(P5=1,'01 Inputs'!$B$6*'01 Inputs'!$B$12*(1+'01 Inputs'!$B$13)^(P4-'01 Inputs'!$B$5),0)</f>
        <v>951181.34592190897</v>
      </c>
      <c r="Q13">
        <f>IF(Q5=1,'01 Inputs'!$B$6*'01 Inputs'!$B$12*(1+'01 Inputs'!$B$13)^(Q4-'01 Inputs'!$B$5),0)</f>
        <v>970204.97284034709</v>
      </c>
      <c r="R13">
        <f>IF(R5=1,'01 Inputs'!$B$6*'01 Inputs'!$B$12*(1+'01 Inputs'!$B$13)^(R4-'01 Inputs'!$B$5),0)</f>
        <v>989609.07229715411</v>
      </c>
      <c r="S13">
        <f>IF(S5=1,'01 Inputs'!$B$6*'01 Inputs'!$B$12*(1+'01 Inputs'!$B$13)^(S4-'01 Inputs'!$B$5),0)</f>
        <v>1009401.253743097</v>
      </c>
      <c r="T13">
        <f>IF(T5=1,'01 Inputs'!$B$6*'01 Inputs'!$B$12*(1+'01 Inputs'!$B$13)^(T4-'01 Inputs'!$B$5),0)</f>
        <v>1029589.278817959</v>
      </c>
      <c r="U13">
        <f>IF(U5=1,'01 Inputs'!$B$6*'01 Inputs'!$B$12*(1+'01 Inputs'!$B$13)^(U4-'01 Inputs'!$B$5),0)</f>
        <v>1050181.0643943183</v>
      </c>
      <c r="V13">
        <f>IF(V5=1,'01 Inputs'!$B$6*'01 Inputs'!$B$12*(1+'01 Inputs'!$B$13)^(V4-'01 Inputs'!$B$5),0)</f>
        <v>1071184.6856822046</v>
      </c>
      <c r="W13">
        <f>IF(W5=1,'01 Inputs'!$B$6*'01 Inputs'!$B$12*(1+'01 Inputs'!$B$13)^(W4-'01 Inputs'!$B$5),0)</f>
        <v>1092608.3793958486</v>
      </c>
      <c r="X13">
        <f>IF(X5=1,'01 Inputs'!$B$6*'01 Inputs'!$B$12*(1+'01 Inputs'!$B$13)^(X4-'01 Inputs'!$B$5),0)</f>
        <v>1114460.5469837657</v>
      </c>
      <c r="Y13">
        <f>IF(Y5=1,'01 Inputs'!$B$6*'01 Inputs'!$B$12*(1+'01 Inputs'!$B$13)^(Y4-'01 Inputs'!$B$5),0)</f>
        <v>1136749.757923441</v>
      </c>
      <c r="Z13">
        <f>IF(Z5=1,'01 Inputs'!$B$6*'01 Inputs'!$B$12*(1+'01 Inputs'!$B$13)^(Z4-'01 Inputs'!$B$5),0)</f>
        <v>1159484.7530819098</v>
      </c>
      <c r="AA13">
        <f>IF(AA5=1,'01 Inputs'!$B$6*'01 Inputs'!$B$12*(1+'01 Inputs'!$B$13)^(AA4-'01 Inputs'!$B$5),0)</f>
        <v>1182674.4481435479</v>
      </c>
      <c r="AB13">
        <f>IF(AB5=1,'01 Inputs'!$B$6*'01 Inputs'!$B$12*(1+'01 Inputs'!$B$13)^(AB4-'01 Inputs'!$B$5),0)</f>
        <v>1206327.9371064189</v>
      </c>
    </row>
    <row r="14" spans="2:28" x14ac:dyDescent="0.25">
      <c r="B14" t="s">
        <v>48</v>
      </c>
      <c r="C14" s="7">
        <f>C12-C13</f>
        <v>0</v>
      </c>
      <c r="D14">
        <f t="shared" ref="D14:AB14" si="3">D12-D13</f>
        <v>4089900</v>
      </c>
      <c r="E14">
        <f t="shared" si="3"/>
        <v>4147014.51</v>
      </c>
      <c r="F14">
        <f t="shared" si="3"/>
        <v>4204903.5261990009</v>
      </c>
      <c r="G14">
        <f t="shared" si="3"/>
        <v>4263577.0587393641</v>
      </c>
      <c r="H14">
        <f t="shared" si="3"/>
        <v>4323045.2363145808</v>
      </c>
      <c r="I14">
        <f t="shared" si="3"/>
        <v>4383318.30732367</v>
      </c>
      <c r="J14">
        <f t="shared" si="3"/>
        <v>4444406.6410305528</v>
      </c>
      <c r="K14">
        <f t="shared" si="3"/>
        <v>4506320.7287282208</v>
      </c>
      <c r="L14">
        <f t="shared" si="3"/>
        <v>4569071.1849075137</v>
      </c>
      <c r="M14">
        <f t="shared" si="3"/>
        <v>4632668.7484303014</v>
      </c>
      <c r="N14">
        <f t="shared" si="3"/>
        <v>4697124.2837069342</v>
      </c>
      <c r="O14">
        <f t="shared" si="3"/>
        <v>4762448.7818776853</v>
      </c>
      <c r="P14">
        <f t="shared" si="3"/>
        <v>4828653.3619980551</v>
      </c>
      <c r="Q14">
        <f t="shared" si="3"/>
        <v>4895749.2722276235</v>
      </c>
      <c r="R14">
        <f t="shared" si="3"/>
        <v>4963747.8910223311</v>
      </c>
      <c r="S14">
        <f t="shared" si="3"/>
        <v>5032660.7283298457</v>
      </c>
      <c r="T14">
        <f t="shared" si="3"/>
        <v>5102499.4267878719</v>
      </c>
      <c r="U14">
        <f t="shared" si="3"/>
        <v>5173275.7629250409</v>
      </c>
      <c r="V14">
        <f t="shared" si="3"/>
        <v>5245001.6483642124</v>
      </c>
      <c r="W14">
        <f t="shared" si="3"/>
        <v>5317689.1310278587</v>
      </c>
      <c r="X14">
        <f t="shared" si="3"/>
        <v>5391350.3963452568</v>
      </c>
      <c r="Y14">
        <f t="shared" si="3"/>
        <v>5465997.7684611827</v>
      </c>
      <c r="Z14">
        <f t="shared" si="3"/>
        <v>5541643.7114458457</v>
      </c>
      <c r="AA14">
        <f t="shared" si="3"/>
        <v>5618300.830505671</v>
      </c>
      <c r="AB14">
        <f t="shared" si="3"/>
        <v>5695981.8731946722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26D8-2247-47A7-87CF-A217D35B8450}">
  <dimension ref="B2:AB12"/>
  <sheetViews>
    <sheetView topLeftCell="B1" workbookViewId="0">
      <selection activeCell="D12" sqref="D12"/>
    </sheetView>
  </sheetViews>
  <sheetFormatPr defaultRowHeight="15" x14ac:dyDescent="0.25"/>
  <cols>
    <col min="2" max="2" width="19" customWidth="1"/>
  </cols>
  <sheetData>
    <row r="2" spans="2:28" x14ac:dyDescent="0.25">
      <c r="B2" t="s">
        <v>49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50</v>
      </c>
      <c r="C5">
        <f>0</f>
        <v>0</v>
      </c>
      <c r="D5">
        <f>C10</f>
        <v>24375000</v>
      </c>
      <c r="E5">
        <f t="shared" ref="E5:AB5" si="0">D10</f>
        <v>22750000</v>
      </c>
      <c r="F5">
        <f t="shared" si="0"/>
        <v>21125000</v>
      </c>
      <c r="G5">
        <f t="shared" si="0"/>
        <v>19500000</v>
      </c>
      <c r="H5">
        <f t="shared" si="0"/>
        <v>17875000</v>
      </c>
      <c r="I5">
        <f t="shared" si="0"/>
        <v>16250000</v>
      </c>
      <c r="J5">
        <f t="shared" si="0"/>
        <v>14625000</v>
      </c>
      <c r="K5">
        <f t="shared" si="0"/>
        <v>13000000</v>
      </c>
      <c r="L5">
        <f t="shared" si="0"/>
        <v>11375000</v>
      </c>
      <c r="M5">
        <f t="shared" si="0"/>
        <v>9750000</v>
      </c>
      <c r="N5">
        <f t="shared" si="0"/>
        <v>8125000</v>
      </c>
      <c r="O5">
        <f t="shared" si="0"/>
        <v>6500000</v>
      </c>
      <c r="P5">
        <f t="shared" si="0"/>
        <v>4875000</v>
      </c>
      <c r="Q5">
        <f t="shared" si="0"/>
        <v>3250000</v>
      </c>
      <c r="R5">
        <f t="shared" si="0"/>
        <v>1625000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</row>
    <row r="6" spans="2:28" x14ac:dyDescent="0.25">
      <c r="B6" t="s">
        <v>38</v>
      </c>
      <c r="C6">
        <f>'03 Construction'!C7</f>
        <v>24375000</v>
      </c>
      <c r="D6">
        <f>'03 Construction'!D7</f>
        <v>0</v>
      </c>
      <c r="E6">
        <f>'03 Construction'!E7</f>
        <v>0</v>
      </c>
      <c r="F6">
        <f>'03 Construction'!F7</f>
        <v>0</v>
      </c>
      <c r="G6">
        <f>'03 Construction'!G7</f>
        <v>0</v>
      </c>
      <c r="H6">
        <f>'03 Construction'!H7</f>
        <v>0</v>
      </c>
      <c r="I6">
        <f>'03 Construction'!I7</f>
        <v>0</v>
      </c>
      <c r="J6">
        <f>'03 Construction'!J7</f>
        <v>0</v>
      </c>
      <c r="K6">
        <f>'03 Construction'!K7</f>
        <v>0</v>
      </c>
      <c r="L6">
        <f>'03 Construction'!L7</f>
        <v>0</v>
      </c>
      <c r="M6">
        <f>'03 Construction'!M7</f>
        <v>0</v>
      </c>
      <c r="N6">
        <f>'03 Construction'!N7</f>
        <v>0</v>
      </c>
      <c r="O6">
        <f>'03 Construction'!O7</f>
        <v>0</v>
      </c>
      <c r="P6">
        <f>'03 Construction'!P7</f>
        <v>0</v>
      </c>
      <c r="Q6">
        <f>'03 Construction'!Q7</f>
        <v>0</v>
      </c>
      <c r="R6">
        <f>'03 Construction'!R7</f>
        <v>0</v>
      </c>
      <c r="S6">
        <f>'03 Construction'!S7</f>
        <v>0</v>
      </c>
      <c r="T6">
        <f>'03 Construction'!T7</f>
        <v>0</v>
      </c>
      <c r="U6">
        <f>'03 Construction'!U7</f>
        <v>0</v>
      </c>
      <c r="V6">
        <f>'03 Construction'!V7</f>
        <v>0</v>
      </c>
      <c r="W6">
        <f>'03 Construction'!W7</f>
        <v>0</v>
      </c>
      <c r="X6">
        <f>'03 Construction'!X7</f>
        <v>0</v>
      </c>
      <c r="Y6">
        <f>'03 Construction'!Y7</f>
        <v>0</v>
      </c>
      <c r="Z6">
        <f>'03 Construction'!Z7</f>
        <v>0</v>
      </c>
      <c r="AA6">
        <f>'03 Construction'!AA7</f>
        <v>0</v>
      </c>
      <c r="AB6">
        <f>'03 Construction'!AB7</f>
        <v>0</v>
      </c>
    </row>
    <row r="7" spans="2:28" x14ac:dyDescent="0.25">
      <c r="B7" t="s">
        <v>51</v>
      </c>
      <c r="C7">
        <f>AVERAGE(C5,C10)*'01 Inputs'!$B$16</f>
        <v>792187.5</v>
      </c>
      <c r="D7">
        <f>AVERAGE(D5,D10)*'01 Inputs'!$B$16</f>
        <v>1531562.5</v>
      </c>
      <c r="E7">
        <f>AVERAGE(E5,E10)*'01 Inputs'!$B$16</f>
        <v>1425937.5</v>
      </c>
      <c r="F7">
        <f>AVERAGE(F5,F10)*'01 Inputs'!$B$16</f>
        <v>1320312.5</v>
      </c>
      <c r="G7">
        <f>AVERAGE(G5,G10)*'01 Inputs'!$B$16</f>
        <v>1214687.5</v>
      </c>
      <c r="H7">
        <f>AVERAGE(H5,H10)*'01 Inputs'!$B$16</f>
        <v>1109062.5</v>
      </c>
      <c r="I7">
        <f>AVERAGE(I5,I10)*'01 Inputs'!$B$16</f>
        <v>1003437.5</v>
      </c>
      <c r="J7">
        <f>AVERAGE(J5,J10)*'01 Inputs'!$B$16</f>
        <v>897812.5</v>
      </c>
      <c r="K7">
        <f>AVERAGE(K5,K10)*'01 Inputs'!$B$16</f>
        <v>792187.5</v>
      </c>
      <c r="L7">
        <f>AVERAGE(L5,L10)*'01 Inputs'!$B$16</f>
        <v>686562.5</v>
      </c>
      <c r="M7">
        <f>AVERAGE(M5,M10)*'01 Inputs'!$B$16</f>
        <v>580937.5</v>
      </c>
      <c r="N7">
        <f>AVERAGE(N5,N10)*'01 Inputs'!$B$16</f>
        <v>475312.5</v>
      </c>
      <c r="O7">
        <f>AVERAGE(O5,O10)*'01 Inputs'!$B$16</f>
        <v>369687.5</v>
      </c>
      <c r="P7">
        <f>AVERAGE(P5,P10)*'01 Inputs'!$B$16</f>
        <v>264062.5</v>
      </c>
      <c r="Q7">
        <f>AVERAGE(Q5,Q10)*'01 Inputs'!$B$16</f>
        <v>158437.5</v>
      </c>
      <c r="R7">
        <f>AVERAGE(R5,R10)*'01 Inputs'!$B$16</f>
        <v>52812.5</v>
      </c>
      <c r="S7">
        <f>AVERAGE(S5,S10)*'01 Inputs'!$B$16</f>
        <v>0</v>
      </c>
      <c r="T7">
        <f>AVERAGE(T5,T10)*'01 Inputs'!$B$16</f>
        <v>0</v>
      </c>
      <c r="U7">
        <f>AVERAGE(U5,U10)*'01 Inputs'!$B$16</f>
        <v>0</v>
      </c>
      <c r="V7">
        <f>AVERAGE(V5,V10)*'01 Inputs'!$B$16</f>
        <v>0</v>
      </c>
      <c r="W7">
        <f>AVERAGE(W5,W10)*'01 Inputs'!$B$16</f>
        <v>0</v>
      </c>
      <c r="X7">
        <f>AVERAGE(X5,X10)*'01 Inputs'!$B$16</f>
        <v>0</v>
      </c>
      <c r="Y7">
        <f>AVERAGE(Y5,Y10)*'01 Inputs'!$B$16</f>
        <v>0</v>
      </c>
      <c r="Z7">
        <f>AVERAGE(Z5,Z10)*'01 Inputs'!$B$16</f>
        <v>0</v>
      </c>
      <c r="AA7">
        <f>AVERAGE(AA5,AA10)*'01 Inputs'!$B$16</f>
        <v>0</v>
      </c>
      <c r="AB7">
        <f>AVERAGE(AB5,AB10)*'01 Inputs'!$B$16</f>
        <v>0</v>
      </c>
    </row>
    <row r="8" spans="2:28" x14ac:dyDescent="0.25">
      <c r="B8" t="s">
        <v>52</v>
      </c>
      <c r="C8">
        <f>IF('02 Timeline'!C7=1,MIN(C5+C6,$C$12/'01 Inputs'!$B$17),0)</f>
        <v>0</v>
      </c>
      <c r="D8">
        <f>IF('02 Timeline'!D7=1,MIN(D5+D6,$C$12/'01 Inputs'!$B$17),0)</f>
        <v>1625000</v>
      </c>
      <c r="E8">
        <f>IF('02 Timeline'!E7=1,MIN(E5+E6,$C$12/'01 Inputs'!$B$17),0)</f>
        <v>1625000</v>
      </c>
      <c r="F8">
        <f>IF('02 Timeline'!F7=1,MIN(F5+F6,$C$12/'01 Inputs'!$B$17),0)</f>
        <v>1625000</v>
      </c>
      <c r="G8">
        <f>IF('02 Timeline'!G7=1,MIN(G5+G6,$C$12/'01 Inputs'!$B$17),0)</f>
        <v>1625000</v>
      </c>
      <c r="H8">
        <f>IF('02 Timeline'!H7=1,MIN(H5+H6,$C$12/'01 Inputs'!$B$17),0)</f>
        <v>1625000</v>
      </c>
      <c r="I8">
        <f>IF('02 Timeline'!I7=1,MIN(I5+I6,$C$12/'01 Inputs'!$B$17),0)</f>
        <v>1625000</v>
      </c>
      <c r="J8">
        <f>IF('02 Timeline'!J7=1,MIN(J5+J6,$C$12/'01 Inputs'!$B$17),0)</f>
        <v>1625000</v>
      </c>
      <c r="K8">
        <f>IF('02 Timeline'!K7=1,MIN(K5+K6,$C$12/'01 Inputs'!$B$17),0)</f>
        <v>1625000</v>
      </c>
      <c r="L8">
        <f>IF('02 Timeline'!L7=1,MIN(L5+L6,$C$12/'01 Inputs'!$B$17),0)</f>
        <v>1625000</v>
      </c>
      <c r="M8">
        <f>IF('02 Timeline'!M7=1,MIN(M5+M6,$C$12/'01 Inputs'!$B$17),0)</f>
        <v>1625000</v>
      </c>
      <c r="N8">
        <f>IF('02 Timeline'!N7=1,MIN(N5+N6,$C$12/'01 Inputs'!$B$17),0)</f>
        <v>1625000</v>
      </c>
      <c r="O8">
        <f>IF('02 Timeline'!O7=1,MIN(O5+O6,$C$12/'01 Inputs'!$B$17),0)</f>
        <v>1625000</v>
      </c>
      <c r="P8">
        <f>IF('02 Timeline'!P7=1,MIN(P5+P6,$C$12/'01 Inputs'!$B$17),0)</f>
        <v>1625000</v>
      </c>
      <c r="Q8">
        <f>IF('02 Timeline'!Q7=1,MIN(Q5+Q6,$C$12/'01 Inputs'!$B$17),0)</f>
        <v>1625000</v>
      </c>
      <c r="R8">
        <f>IF('02 Timeline'!R7=1,MIN(R5+R6,$C$12/'01 Inputs'!$B$17),0)</f>
        <v>1625000</v>
      </c>
      <c r="S8">
        <f>IF('02 Timeline'!S7=1,MIN(S5+S6,$C$12/'01 Inputs'!$B$17),0)</f>
        <v>0</v>
      </c>
      <c r="T8">
        <f>IF('02 Timeline'!T7=1,MIN(T5+T6,$C$12/'01 Inputs'!$B$17),0)</f>
        <v>0</v>
      </c>
      <c r="U8">
        <f>IF('02 Timeline'!U7=1,MIN(U5+U6,$C$12/'01 Inputs'!$B$17),0)</f>
        <v>0</v>
      </c>
      <c r="V8">
        <f>IF('02 Timeline'!V7=1,MIN(V5+V6,$C$12/'01 Inputs'!$B$17),0)</f>
        <v>0</v>
      </c>
      <c r="W8">
        <f>IF('02 Timeline'!W7=1,MIN(W5+W6,$C$12/'01 Inputs'!$B$17),0)</f>
        <v>0</v>
      </c>
      <c r="X8">
        <f>IF('02 Timeline'!X7=1,MIN(X5+X6,$C$12/'01 Inputs'!$B$17),0)</f>
        <v>0</v>
      </c>
      <c r="Y8">
        <f>IF('02 Timeline'!Y7=1,MIN(Y5+Y6,$C$12/'01 Inputs'!$B$17),0)</f>
        <v>0</v>
      </c>
      <c r="Z8">
        <f>IF('02 Timeline'!Z7=1,MIN(Z5+Z6,$C$12/'01 Inputs'!$B$17),0)</f>
        <v>0</v>
      </c>
      <c r="AA8">
        <f>IF('02 Timeline'!AA7=1,MIN(AA5+AA6,$C$12/'01 Inputs'!$B$17),0)</f>
        <v>0</v>
      </c>
      <c r="AB8">
        <f>IF('02 Timeline'!AB7=1,MIN(AB5+AB6,$C$12/'01 Inputs'!$B$17),0)</f>
        <v>0</v>
      </c>
    </row>
    <row r="9" spans="2:28" x14ac:dyDescent="0.25">
      <c r="B9" t="s">
        <v>53</v>
      </c>
      <c r="C9">
        <f>C7+C8</f>
        <v>792187.5</v>
      </c>
      <c r="D9">
        <f t="shared" ref="D9:AB9" si="1">D7+D8</f>
        <v>3156562.5</v>
      </c>
      <c r="E9">
        <f t="shared" si="1"/>
        <v>3050937.5</v>
      </c>
      <c r="F9">
        <f t="shared" si="1"/>
        <v>2945312.5</v>
      </c>
      <c r="G9">
        <f t="shared" si="1"/>
        <v>2839687.5</v>
      </c>
      <c r="H9">
        <f t="shared" si="1"/>
        <v>2734062.5</v>
      </c>
      <c r="I9">
        <f t="shared" si="1"/>
        <v>2628437.5</v>
      </c>
      <c r="J9">
        <f t="shared" si="1"/>
        <v>2522812.5</v>
      </c>
      <c r="K9">
        <f t="shared" si="1"/>
        <v>2417187.5</v>
      </c>
      <c r="L9">
        <f t="shared" si="1"/>
        <v>2311562.5</v>
      </c>
      <c r="M9">
        <f t="shared" si="1"/>
        <v>2205937.5</v>
      </c>
      <c r="N9">
        <f t="shared" si="1"/>
        <v>2100312.5</v>
      </c>
      <c r="O9">
        <f t="shared" si="1"/>
        <v>1994687.5</v>
      </c>
      <c r="P9">
        <f t="shared" si="1"/>
        <v>1889062.5</v>
      </c>
      <c r="Q9">
        <f t="shared" si="1"/>
        <v>1783437.5</v>
      </c>
      <c r="R9">
        <f t="shared" si="1"/>
        <v>1677812.5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</row>
    <row r="10" spans="2:28" x14ac:dyDescent="0.25">
      <c r="B10" t="s">
        <v>54</v>
      </c>
      <c r="C10">
        <f>C5+C6-C8</f>
        <v>24375000</v>
      </c>
      <c r="D10">
        <f t="shared" ref="D10:AB10" si="2">D5+D6-D8</f>
        <v>22750000</v>
      </c>
      <c r="E10">
        <f t="shared" si="2"/>
        <v>21125000</v>
      </c>
      <c r="F10">
        <f t="shared" si="2"/>
        <v>19500000</v>
      </c>
      <c r="G10">
        <f t="shared" si="2"/>
        <v>17875000</v>
      </c>
      <c r="H10">
        <f t="shared" si="2"/>
        <v>16250000</v>
      </c>
      <c r="I10">
        <f t="shared" si="2"/>
        <v>14625000</v>
      </c>
      <c r="J10">
        <f t="shared" si="2"/>
        <v>13000000</v>
      </c>
      <c r="K10">
        <f t="shared" si="2"/>
        <v>11375000</v>
      </c>
      <c r="L10">
        <f t="shared" si="2"/>
        <v>9750000</v>
      </c>
      <c r="M10">
        <f t="shared" si="2"/>
        <v>8125000</v>
      </c>
      <c r="N10">
        <f t="shared" si="2"/>
        <v>6500000</v>
      </c>
      <c r="O10">
        <f t="shared" si="2"/>
        <v>4875000</v>
      </c>
      <c r="P10">
        <f t="shared" si="2"/>
        <v>3250000</v>
      </c>
      <c r="Q10">
        <f t="shared" si="2"/>
        <v>1625000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</row>
    <row r="12" spans="2:28" x14ac:dyDescent="0.25">
      <c r="B12" t="s">
        <v>6</v>
      </c>
      <c r="C12">
        <f>SUM(C6:AB6)</f>
        <v>24375000</v>
      </c>
      <c r="D12">
        <f t="shared" ref="D12:AB12" si="3">SUM(D6:AC6)</f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E441-E8E0-4C3A-8DDC-21F1861B1A0D}">
  <dimension ref="B2:AB8"/>
  <sheetViews>
    <sheetView workbookViewId="0">
      <selection activeCell="C5" sqref="C5"/>
    </sheetView>
  </sheetViews>
  <sheetFormatPr defaultRowHeight="15" x14ac:dyDescent="0.25"/>
  <cols>
    <col min="2" max="2" width="18" customWidth="1"/>
  </cols>
  <sheetData>
    <row r="2" spans="2:28" x14ac:dyDescent="0.25">
      <c r="B2" t="s">
        <v>55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48</v>
      </c>
      <c r="C5" s="7">
        <f>'04 Operation'!C14</f>
        <v>0</v>
      </c>
      <c r="D5" s="8">
        <f>'04 Operation'!D14</f>
        <v>4089900</v>
      </c>
      <c r="E5" s="8">
        <f>'04 Operation'!E14</f>
        <v>4147014.51</v>
      </c>
      <c r="F5" s="8">
        <f>'04 Operation'!F14</f>
        <v>4204903.5261990009</v>
      </c>
      <c r="G5" s="8">
        <f>'04 Operation'!G14</f>
        <v>4263577.0587393641</v>
      </c>
      <c r="H5" s="8">
        <f>'04 Operation'!H14</f>
        <v>4323045.2363145808</v>
      </c>
      <c r="I5" s="8">
        <f>'04 Operation'!I14</f>
        <v>4383318.30732367</v>
      </c>
      <c r="J5" s="8">
        <f>'04 Operation'!J14</f>
        <v>4444406.6410305528</v>
      </c>
      <c r="K5" s="8">
        <f>'04 Operation'!K14</f>
        <v>4506320.7287282208</v>
      </c>
      <c r="L5" s="8">
        <f>'04 Operation'!L14</f>
        <v>4569071.1849075137</v>
      </c>
      <c r="M5" s="8">
        <f>'04 Operation'!M14</f>
        <v>4632668.7484303014</v>
      </c>
      <c r="N5" s="8">
        <f>'04 Operation'!N14</f>
        <v>4697124.2837069342</v>
      </c>
      <c r="O5" s="8">
        <f>'04 Operation'!O14</f>
        <v>4762448.7818776853</v>
      </c>
      <c r="P5" s="8">
        <f>'04 Operation'!P14</f>
        <v>4828653.3619980551</v>
      </c>
      <c r="Q5" s="8">
        <f>'04 Operation'!Q14</f>
        <v>4895749.2722276235</v>
      </c>
      <c r="R5" s="8">
        <f>'04 Operation'!R14</f>
        <v>4963747.8910223311</v>
      </c>
      <c r="S5" s="8">
        <f>'04 Operation'!S14</f>
        <v>5032660.7283298457</v>
      </c>
      <c r="T5" s="8">
        <f>'04 Operation'!T14</f>
        <v>5102499.4267878719</v>
      </c>
      <c r="U5" s="8">
        <f>'04 Operation'!U14</f>
        <v>5173275.7629250409</v>
      </c>
      <c r="V5" s="8">
        <f>'04 Operation'!V14</f>
        <v>5245001.6483642124</v>
      </c>
      <c r="W5" s="8">
        <f>'04 Operation'!W14</f>
        <v>5317689.1310278587</v>
      </c>
      <c r="X5" s="8">
        <f>'04 Operation'!X14</f>
        <v>5391350.3963452568</v>
      </c>
      <c r="Y5" s="8">
        <f>'04 Operation'!Y14</f>
        <v>5465997.7684611827</v>
      </c>
      <c r="Z5" s="8">
        <f>'04 Operation'!Z14</f>
        <v>5541643.7114458457</v>
      </c>
      <c r="AA5" s="8">
        <f>'04 Operation'!AA14</f>
        <v>5618300.830505671</v>
      </c>
      <c r="AB5" s="8">
        <f>'04 Operation'!AB14</f>
        <v>5695981.8731946722</v>
      </c>
    </row>
    <row r="6" spans="2:28" x14ac:dyDescent="0.25">
      <c r="B6" t="s">
        <v>51</v>
      </c>
      <c r="C6">
        <f>'05 Debt'!C7</f>
        <v>792187.5</v>
      </c>
      <c r="D6">
        <f>'05 Debt'!D7</f>
        <v>1531562.5</v>
      </c>
      <c r="E6">
        <f>'05 Debt'!E7</f>
        <v>1425937.5</v>
      </c>
      <c r="F6">
        <f>'05 Debt'!F7</f>
        <v>1320312.5</v>
      </c>
      <c r="G6">
        <f>'05 Debt'!G7</f>
        <v>1214687.5</v>
      </c>
      <c r="H6">
        <f>'05 Debt'!H7</f>
        <v>1109062.5</v>
      </c>
      <c r="I6">
        <f>'05 Debt'!I7</f>
        <v>1003437.5</v>
      </c>
      <c r="J6">
        <f>'05 Debt'!J7</f>
        <v>897812.5</v>
      </c>
      <c r="K6">
        <f>'05 Debt'!K7</f>
        <v>792187.5</v>
      </c>
      <c r="L6">
        <f>'05 Debt'!L7</f>
        <v>686562.5</v>
      </c>
      <c r="M6">
        <f>'05 Debt'!M7</f>
        <v>580937.5</v>
      </c>
      <c r="N6">
        <f>'05 Debt'!N7</f>
        <v>475312.5</v>
      </c>
      <c r="O6">
        <f>'05 Debt'!O7</f>
        <v>369687.5</v>
      </c>
      <c r="P6">
        <f>'05 Debt'!P7</f>
        <v>264062.5</v>
      </c>
      <c r="Q6">
        <f>'05 Debt'!Q7</f>
        <v>158437.5</v>
      </c>
      <c r="R6">
        <f>'05 Debt'!R7</f>
        <v>52812.5</v>
      </c>
      <c r="S6">
        <f>'05 Debt'!S7</f>
        <v>0</v>
      </c>
      <c r="T6">
        <f>'05 Debt'!T7</f>
        <v>0</v>
      </c>
      <c r="U6">
        <f>'05 Debt'!U7</f>
        <v>0</v>
      </c>
      <c r="V6">
        <f>'05 Debt'!V7</f>
        <v>0</v>
      </c>
      <c r="W6">
        <f>'05 Debt'!W7</f>
        <v>0</v>
      </c>
      <c r="X6">
        <f>'05 Debt'!X7</f>
        <v>0</v>
      </c>
      <c r="Y6">
        <f>'05 Debt'!Y7</f>
        <v>0</v>
      </c>
      <c r="Z6">
        <f>'05 Debt'!Z7</f>
        <v>0</v>
      </c>
      <c r="AA6">
        <f>'05 Debt'!AA7</f>
        <v>0</v>
      </c>
      <c r="AB6">
        <f>'05 Debt'!AB7</f>
        <v>0</v>
      </c>
    </row>
    <row r="7" spans="2:28" x14ac:dyDescent="0.25">
      <c r="B7" t="s">
        <v>56</v>
      </c>
      <c r="C7">
        <f>MAX(C5-C6,0)</f>
        <v>0</v>
      </c>
      <c r="D7">
        <f t="shared" ref="D7:AB7" si="0">MAX(D5-D6,0)</f>
        <v>2558337.5</v>
      </c>
      <c r="E7">
        <f t="shared" si="0"/>
        <v>2721077.01</v>
      </c>
      <c r="F7">
        <f t="shared" si="0"/>
        <v>2884591.0261990009</v>
      </c>
      <c r="G7">
        <f t="shared" si="0"/>
        <v>3048889.5587393641</v>
      </c>
      <c r="H7">
        <f t="shared" si="0"/>
        <v>3213982.7363145808</v>
      </c>
      <c r="I7">
        <f t="shared" si="0"/>
        <v>3379880.80732367</v>
      </c>
      <c r="J7">
        <f t="shared" si="0"/>
        <v>3546594.1410305528</v>
      </c>
      <c r="K7">
        <f t="shared" si="0"/>
        <v>3714133.2287282208</v>
      </c>
      <c r="L7">
        <f t="shared" si="0"/>
        <v>3882508.6849075137</v>
      </c>
      <c r="M7">
        <f t="shared" si="0"/>
        <v>4051731.2484303014</v>
      </c>
      <c r="N7">
        <f t="shared" si="0"/>
        <v>4221811.7837069342</v>
      </c>
      <c r="O7">
        <f t="shared" si="0"/>
        <v>4392761.2818776853</v>
      </c>
      <c r="P7">
        <f t="shared" si="0"/>
        <v>4564590.8619980551</v>
      </c>
      <c r="Q7">
        <f t="shared" si="0"/>
        <v>4737311.7722276235</v>
      </c>
      <c r="R7">
        <f t="shared" si="0"/>
        <v>4910935.3910223311</v>
      </c>
      <c r="S7">
        <f t="shared" si="0"/>
        <v>5032660.7283298457</v>
      </c>
      <c r="T7">
        <f t="shared" si="0"/>
        <v>5102499.4267878719</v>
      </c>
      <c r="U7">
        <f t="shared" si="0"/>
        <v>5173275.7629250409</v>
      </c>
      <c r="V7">
        <f t="shared" si="0"/>
        <v>5245001.6483642124</v>
      </c>
      <c r="W7">
        <f t="shared" si="0"/>
        <v>5317689.1310278587</v>
      </c>
      <c r="X7">
        <f t="shared" si="0"/>
        <v>5391350.3963452568</v>
      </c>
      <c r="Y7">
        <f t="shared" si="0"/>
        <v>5465997.7684611827</v>
      </c>
      <c r="Z7">
        <f t="shared" si="0"/>
        <v>5541643.7114458457</v>
      </c>
      <c r="AA7">
        <f t="shared" si="0"/>
        <v>5618300.830505671</v>
      </c>
      <c r="AB7">
        <f t="shared" si="0"/>
        <v>5695981.8731946722</v>
      </c>
    </row>
    <row r="8" spans="2:28" x14ac:dyDescent="0.25">
      <c r="B8" t="s">
        <v>55</v>
      </c>
      <c r="C8">
        <f>C7*'01 Inputs'!$B$18</f>
        <v>0</v>
      </c>
      <c r="D8">
        <f>D7*'01 Inputs'!$B$18</f>
        <v>639584.375</v>
      </c>
      <c r="E8">
        <f>E7*'01 Inputs'!$B$18</f>
        <v>680269.25249999994</v>
      </c>
      <c r="F8">
        <f>F7*'01 Inputs'!$B$18</f>
        <v>721147.75654975022</v>
      </c>
      <c r="G8">
        <f>G7*'01 Inputs'!$B$18</f>
        <v>762222.38968484104</v>
      </c>
      <c r="H8">
        <f>H7*'01 Inputs'!$B$18</f>
        <v>803495.68407864519</v>
      </c>
      <c r="I8">
        <f>I7*'01 Inputs'!$B$18</f>
        <v>844970.2018309175</v>
      </c>
      <c r="J8">
        <f>J7*'01 Inputs'!$B$18</f>
        <v>886648.5352576382</v>
      </c>
      <c r="K8">
        <f>K7*'01 Inputs'!$B$18</f>
        <v>928533.3071820552</v>
      </c>
      <c r="L8">
        <f>L7*'01 Inputs'!$B$18</f>
        <v>970627.17122687842</v>
      </c>
      <c r="M8">
        <f>M7*'01 Inputs'!$B$18</f>
        <v>1012932.8121075754</v>
      </c>
      <c r="N8">
        <f>N7*'01 Inputs'!$B$18</f>
        <v>1055452.9459267335</v>
      </c>
      <c r="O8">
        <f>O7*'01 Inputs'!$B$18</f>
        <v>1098190.3204694213</v>
      </c>
      <c r="P8">
        <f>P7*'01 Inputs'!$B$18</f>
        <v>1141147.7154995138</v>
      </c>
      <c r="Q8">
        <f>Q7*'01 Inputs'!$B$18</f>
        <v>1184327.9430569059</v>
      </c>
      <c r="R8">
        <f>R7*'01 Inputs'!$B$18</f>
        <v>1227733.8477555828</v>
      </c>
      <c r="S8">
        <f>S7*'01 Inputs'!$B$18</f>
        <v>1258165.1820824614</v>
      </c>
      <c r="T8">
        <f>T7*'01 Inputs'!$B$18</f>
        <v>1275624.856696968</v>
      </c>
      <c r="U8">
        <f>U7*'01 Inputs'!$B$18</f>
        <v>1293318.9407312602</v>
      </c>
      <c r="V8">
        <f>V7*'01 Inputs'!$B$18</f>
        <v>1311250.4120910531</v>
      </c>
      <c r="W8">
        <f>W7*'01 Inputs'!$B$18</f>
        <v>1329422.2827569647</v>
      </c>
      <c r="X8">
        <f>X7*'01 Inputs'!$B$18</f>
        <v>1347837.5990863142</v>
      </c>
      <c r="Y8">
        <f>Y7*'01 Inputs'!$B$18</f>
        <v>1366499.4421152957</v>
      </c>
      <c r="Z8">
        <f>Z7*'01 Inputs'!$B$18</f>
        <v>1385410.9278614614</v>
      </c>
      <c r="AA8">
        <f>AA7*'01 Inputs'!$B$18</f>
        <v>1404575.2076264177</v>
      </c>
      <c r="AB8">
        <f>AB7*'01 Inputs'!$B$18</f>
        <v>1423995.468298668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423B-6D76-433E-94FC-59506159A8C4}">
  <dimension ref="B2:AB13"/>
  <sheetViews>
    <sheetView workbookViewId="0">
      <selection activeCell="C15" sqref="C15"/>
    </sheetView>
  </sheetViews>
  <sheetFormatPr defaultRowHeight="15" x14ac:dyDescent="0.25"/>
  <cols>
    <col min="2" max="2" width="18.42578125" customWidth="1"/>
    <col min="3" max="3" width="9.7109375" bestFit="1" customWidth="1"/>
  </cols>
  <sheetData>
    <row r="2" spans="2:28" x14ac:dyDescent="0.25">
      <c r="B2" t="s">
        <v>57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48</v>
      </c>
      <c r="C5" s="8">
        <f>'04 Operation'!C14</f>
        <v>0</v>
      </c>
      <c r="D5" s="8">
        <f>'04 Operation'!D14</f>
        <v>4089900</v>
      </c>
      <c r="E5" s="8">
        <f>'04 Operation'!E14</f>
        <v>4147014.51</v>
      </c>
      <c r="F5" s="8">
        <f>'04 Operation'!F14</f>
        <v>4204903.5261990009</v>
      </c>
      <c r="G5" s="8">
        <f>'04 Operation'!G14</f>
        <v>4263577.0587393641</v>
      </c>
      <c r="H5" s="8">
        <f>'04 Operation'!H14</f>
        <v>4323045.2363145808</v>
      </c>
      <c r="I5" s="8">
        <f>'04 Operation'!I14</f>
        <v>4383318.30732367</v>
      </c>
      <c r="J5" s="8">
        <f>'04 Operation'!J14</f>
        <v>4444406.6410305528</v>
      </c>
      <c r="K5" s="8">
        <f>'04 Operation'!K14</f>
        <v>4506320.7287282208</v>
      </c>
      <c r="L5" s="8">
        <f>'04 Operation'!L14</f>
        <v>4569071.1849075137</v>
      </c>
      <c r="M5" s="8">
        <f>'04 Operation'!M14</f>
        <v>4632668.7484303014</v>
      </c>
      <c r="N5" s="8">
        <f>'04 Operation'!N14</f>
        <v>4697124.2837069342</v>
      </c>
      <c r="O5" s="8">
        <f>'04 Operation'!O14</f>
        <v>4762448.7818776853</v>
      </c>
      <c r="P5" s="8">
        <f>'04 Operation'!P14</f>
        <v>4828653.3619980551</v>
      </c>
      <c r="Q5" s="8">
        <f>'04 Operation'!Q14</f>
        <v>4895749.2722276235</v>
      </c>
      <c r="R5" s="8">
        <f>'04 Operation'!R14</f>
        <v>4963747.8910223311</v>
      </c>
      <c r="S5" s="8">
        <f>'04 Operation'!S14</f>
        <v>5032660.7283298457</v>
      </c>
      <c r="T5" s="8">
        <f>'04 Operation'!T14</f>
        <v>5102499.4267878719</v>
      </c>
      <c r="U5" s="8">
        <f>'04 Operation'!U14</f>
        <v>5173275.7629250409</v>
      </c>
      <c r="V5" s="8">
        <f>'04 Operation'!V14</f>
        <v>5245001.6483642124</v>
      </c>
      <c r="W5" s="8">
        <f>'04 Operation'!W14</f>
        <v>5317689.1310278587</v>
      </c>
      <c r="X5" s="8">
        <f>'04 Operation'!X14</f>
        <v>5391350.3963452568</v>
      </c>
      <c r="Y5" s="8">
        <f>'04 Operation'!Y14</f>
        <v>5465997.7684611827</v>
      </c>
      <c r="Z5" s="8">
        <f>'04 Operation'!Z14</f>
        <v>5541643.7114458457</v>
      </c>
      <c r="AA5" s="8">
        <f>'04 Operation'!AA14</f>
        <v>5618300.830505671</v>
      </c>
      <c r="AB5" s="8">
        <f>'04 Operation'!AB14</f>
        <v>5695981.8731946722</v>
      </c>
    </row>
    <row r="6" spans="2:28" x14ac:dyDescent="0.25">
      <c r="B6" t="s">
        <v>55</v>
      </c>
      <c r="C6">
        <f>'06 Tax'!C8</f>
        <v>0</v>
      </c>
      <c r="D6">
        <f>'06 Tax'!D8</f>
        <v>639584.375</v>
      </c>
      <c r="E6">
        <f>'06 Tax'!E8</f>
        <v>680269.25249999994</v>
      </c>
      <c r="F6">
        <f>'06 Tax'!F8</f>
        <v>721147.75654975022</v>
      </c>
      <c r="G6">
        <f>'06 Tax'!G8</f>
        <v>762222.38968484104</v>
      </c>
      <c r="H6">
        <f>'06 Tax'!H8</f>
        <v>803495.68407864519</v>
      </c>
      <c r="I6">
        <f>'06 Tax'!I8</f>
        <v>844970.2018309175</v>
      </c>
      <c r="J6">
        <f>'06 Tax'!J8</f>
        <v>886648.5352576382</v>
      </c>
      <c r="K6">
        <f>'06 Tax'!K8</f>
        <v>928533.3071820552</v>
      </c>
      <c r="L6">
        <f>'06 Tax'!L8</f>
        <v>970627.17122687842</v>
      </c>
      <c r="M6">
        <f>'06 Tax'!M8</f>
        <v>1012932.8121075754</v>
      </c>
      <c r="N6">
        <f>'06 Tax'!N8</f>
        <v>1055452.9459267335</v>
      </c>
      <c r="O6">
        <f>'06 Tax'!O8</f>
        <v>1098190.3204694213</v>
      </c>
      <c r="P6">
        <f>'06 Tax'!P8</f>
        <v>1141147.7154995138</v>
      </c>
      <c r="Q6">
        <f>'06 Tax'!Q8</f>
        <v>1184327.9430569059</v>
      </c>
      <c r="R6">
        <f>'06 Tax'!R8</f>
        <v>1227733.8477555828</v>
      </c>
      <c r="S6">
        <f>'06 Tax'!S8</f>
        <v>1258165.1820824614</v>
      </c>
      <c r="T6">
        <f>'06 Tax'!T8</f>
        <v>1275624.856696968</v>
      </c>
      <c r="U6">
        <f>'06 Tax'!U8</f>
        <v>1293318.9407312602</v>
      </c>
      <c r="V6">
        <f>'06 Tax'!V8</f>
        <v>1311250.4120910531</v>
      </c>
      <c r="W6">
        <f>'06 Tax'!W8</f>
        <v>1329422.2827569647</v>
      </c>
      <c r="X6">
        <f>'06 Tax'!X8</f>
        <v>1347837.5990863142</v>
      </c>
      <c r="Y6">
        <f>'06 Tax'!Y8</f>
        <v>1366499.4421152957</v>
      </c>
      <c r="Z6">
        <f>'06 Tax'!Z8</f>
        <v>1385410.9278614614</v>
      </c>
      <c r="AA6">
        <f>'06 Tax'!AA8</f>
        <v>1404575.2076264177</v>
      </c>
      <c r="AB6">
        <f>'06 Tax'!AB8</f>
        <v>1423995.468298668</v>
      </c>
    </row>
    <row r="7" spans="2:28" x14ac:dyDescent="0.25">
      <c r="B7" t="s">
        <v>58</v>
      </c>
      <c r="C7">
        <f>C5-C6</f>
        <v>0</v>
      </c>
      <c r="D7">
        <f t="shared" ref="D7:AB7" si="0">D5-D6</f>
        <v>3450315.625</v>
      </c>
      <c r="E7">
        <f t="shared" si="0"/>
        <v>3466745.2574999998</v>
      </c>
      <c r="F7">
        <f t="shared" si="0"/>
        <v>3483755.7696492504</v>
      </c>
      <c r="G7">
        <f t="shared" si="0"/>
        <v>3501354.6690545231</v>
      </c>
      <c r="H7">
        <f t="shared" si="0"/>
        <v>3519549.5522359358</v>
      </c>
      <c r="I7">
        <f t="shared" si="0"/>
        <v>3538348.1054927525</v>
      </c>
      <c r="J7">
        <f t="shared" si="0"/>
        <v>3557758.1057729144</v>
      </c>
      <c r="K7">
        <f t="shared" si="0"/>
        <v>3577787.4215461658</v>
      </c>
      <c r="L7">
        <f t="shared" si="0"/>
        <v>3598444.013680635</v>
      </c>
      <c r="M7">
        <f t="shared" si="0"/>
        <v>3619735.9363227263</v>
      </c>
      <c r="N7">
        <f t="shared" si="0"/>
        <v>3641671.3377802009</v>
      </c>
      <c r="O7">
        <f t="shared" si="0"/>
        <v>3664258.461408264</v>
      </c>
      <c r="P7">
        <f t="shared" si="0"/>
        <v>3687505.6464985413</v>
      </c>
      <c r="Q7">
        <f t="shared" si="0"/>
        <v>3711421.3291707179</v>
      </c>
      <c r="R7">
        <f t="shared" si="0"/>
        <v>3736014.0432667481</v>
      </c>
      <c r="S7">
        <f t="shared" si="0"/>
        <v>3774495.5462473845</v>
      </c>
      <c r="T7">
        <f t="shared" si="0"/>
        <v>3826874.5700909039</v>
      </c>
      <c r="U7">
        <f t="shared" si="0"/>
        <v>3879956.8221937809</v>
      </c>
      <c r="V7">
        <f t="shared" si="0"/>
        <v>3933751.2362731593</v>
      </c>
      <c r="W7">
        <f t="shared" si="0"/>
        <v>3988266.848270894</v>
      </c>
      <c r="X7">
        <f t="shared" si="0"/>
        <v>4043512.7972589424</v>
      </c>
      <c r="Y7">
        <f t="shared" si="0"/>
        <v>4099498.326345887</v>
      </c>
      <c r="Z7">
        <f t="shared" si="0"/>
        <v>4156232.7835843842</v>
      </c>
      <c r="AA7">
        <f t="shared" si="0"/>
        <v>4213725.6228792537</v>
      </c>
      <c r="AB7">
        <f t="shared" si="0"/>
        <v>4271986.4048960041</v>
      </c>
    </row>
    <row r="8" spans="2:28" x14ac:dyDescent="0.25">
      <c r="B8" t="s">
        <v>51</v>
      </c>
      <c r="C8">
        <f>'05 Debt'!C7</f>
        <v>792187.5</v>
      </c>
      <c r="D8">
        <f>'05 Debt'!D7</f>
        <v>1531562.5</v>
      </c>
      <c r="E8">
        <f>'05 Debt'!E7</f>
        <v>1425937.5</v>
      </c>
      <c r="F8">
        <f>'05 Debt'!F7</f>
        <v>1320312.5</v>
      </c>
      <c r="G8">
        <f>'05 Debt'!G7</f>
        <v>1214687.5</v>
      </c>
      <c r="H8">
        <f>'05 Debt'!H7</f>
        <v>1109062.5</v>
      </c>
      <c r="I8">
        <f>'05 Debt'!I7</f>
        <v>1003437.5</v>
      </c>
      <c r="J8">
        <f>'05 Debt'!J7</f>
        <v>897812.5</v>
      </c>
      <c r="K8">
        <f>'05 Debt'!K7</f>
        <v>792187.5</v>
      </c>
      <c r="L8">
        <f>'05 Debt'!L7</f>
        <v>686562.5</v>
      </c>
      <c r="M8">
        <f>'05 Debt'!M7</f>
        <v>580937.5</v>
      </c>
      <c r="N8">
        <f>'05 Debt'!N7</f>
        <v>475312.5</v>
      </c>
      <c r="O8">
        <f>'05 Debt'!O7</f>
        <v>369687.5</v>
      </c>
      <c r="P8">
        <f>'05 Debt'!P7</f>
        <v>264062.5</v>
      </c>
      <c r="Q8">
        <f>'05 Debt'!Q7</f>
        <v>158437.5</v>
      </c>
      <c r="R8">
        <f>'05 Debt'!R7</f>
        <v>52812.5</v>
      </c>
      <c r="S8">
        <f>'05 Debt'!S7</f>
        <v>0</v>
      </c>
      <c r="T8">
        <f>'05 Debt'!T7</f>
        <v>0</v>
      </c>
      <c r="U8">
        <f>'05 Debt'!U7</f>
        <v>0</v>
      </c>
      <c r="V8">
        <f>'05 Debt'!V7</f>
        <v>0</v>
      </c>
      <c r="W8">
        <f>'05 Debt'!W7</f>
        <v>0</v>
      </c>
      <c r="X8">
        <f>'05 Debt'!X7</f>
        <v>0</v>
      </c>
      <c r="Y8">
        <f>'05 Debt'!Y7</f>
        <v>0</v>
      </c>
      <c r="Z8">
        <f>'05 Debt'!Z7</f>
        <v>0</v>
      </c>
      <c r="AA8">
        <f>'05 Debt'!AA7</f>
        <v>0</v>
      </c>
      <c r="AB8">
        <f>'05 Debt'!AB7</f>
        <v>0</v>
      </c>
    </row>
    <row r="9" spans="2:28" x14ac:dyDescent="0.25">
      <c r="B9" t="s">
        <v>59</v>
      </c>
      <c r="C9">
        <f>'05 Debt'!C8</f>
        <v>0</v>
      </c>
      <c r="D9">
        <f>'05 Debt'!D8</f>
        <v>1625000</v>
      </c>
      <c r="E9">
        <f>'05 Debt'!E8</f>
        <v>1625000</v>
      </c>
      <c r="F9">
        <f>'05 Debt'!F8</f>
        <v>1625000</v>
      </c>
      <c r="G9">
        <f>'05 Debt'!G8</f>
        <v>1625000</v>
      </c>
      <c r="H9">
        <f>'05 Debt'!H8</f>
        <v>1625000</v>
      </c>
      <c r="I9">
        <f>'05 Debt'!I8</f>
        <v>1625000</v>
      </c>
      <c r="J9">
        <f>'05 Debt'!J8</f>
        <v>1625000</v>
      </c>
      <c r="K9">
        <f>'05 Debt'!K8</f>
        <v>1625000</v>
      </c>
      <c r="L9">
        <f>'05 Debt'!L8</f>
        <v>1625000</v>
      </c>
      <c r="M9">
        <f>'05 Debt'!M8</f>
        <v>1625000</v>
      </c>
      <c r="N9">
        <f>'05 Debt'!N8</f>
        <v>1625000</v>
      </c>
      <c r="O9">
        <f>'05 Debt'!O8</f>
        <v>1625000</v>
      </c>
      <c r="P9">
        <f>'05 Debt'!P8</f>
        <v>1625000</v>
      </c>
      <c r="Q9">
        <f>'05 Debt'!Q8</f>
        <v>1625000</v>
      </c>
      <c r="R9">
        <f>'05 Debt'!R8</f>
        <v>1625000</v>
      </c>
      <c r="S9">
        <f>'05 Debt'!S8</f>
        <v>0</v>
      </c>
      <c r="T9">
        <f>'05 Debt'!T8</f>
        <v>0</v>
      </c>
      <c r="U9">
        <f>'05 Debt'!U8</f>
        <v>0</v>
      </c>
      <c r="V9">
        <f>'05 Debt'!V8</f>
        <v>0</v>
      </c>
      <c r="W9">
        <f>'05 Debt'!W8</f>
        <v>0</v>
      </c>
      <c r="X9">
        <f>'05 Debt'!X8</f>
        <v>0</v>
      </c>
      <c r="Y9">
        <f>'05 Debt'!Y8</f>
        <v>0</v>
      </c>
      <c r="Z9">
        <f>'05 Debt'!Z8</f>
        <v>0</v>
      </c>
      <c r="AA9">
        <f>'05 Debt'!AA8</f>
        <v>0</v>
      </c>
      <c r="AB9">
        <f>'05 Debt'!AB8</f>
        <v>0</v>
      </c>
    </row>
    <row r="10" spans="2:28" x14ac:dyDescent="0.25">
      <c r="B10" t="s">
        <v>53</v>
      </c>
      <c r="C10">
        <f>C8+C9</f>
        <v>792187.5</v>
      </c>
      <c r="D10">
        <f t="shared" ref="D10:AB10" si="1">D8+D9</f>
        <v>3156562.5</v>
      </c>
      <c r="E10">
        <f t="shared" si="1"/>
        <v>3050937.5</v>
      </c>
      <c r="F10">
        <f t="shared" si="1"/>
        <v>2945312.5</v>
      </c>
      <c r="G10">
        <f t="shared" si="1"/>
        <v>2839687.5</v>
      </c>
      <c r="H10">
        <f t="shared" si="1"/>
        <v>2734062.5</v>
      </c>
      <c r="I10">
        <f t="shared" si="1"/>
        <v>2628437.5</v>
      </c>
      <c r="J10">
        <f t="shared" si="1"/>
        <v>2522812.5</v>
      </c>
      <c r="K10">
        <f t="shared" si="1"/>
        <v>2417187.5</v>
      </c>
      <c r="L10">
        <f t="shared" si="1"/>
        <v>2311562.5</v>
      </c>
      <c r="M10">
        <f t="shared" si="1"/>
        <v>2205937.5</v>
      </c>
      <c r="N10">
        <f t="shared" si="1"/>
        <v>2100312.5</v>
      </c>
      <c r="O10">
        <f t="shared" si="1"/>
        <v>1994687.5</v>
      </c>
      <c r="P10">
        <f t="shared" si="1"/>
        <v>1889062.5</v>
      </c>
      <c r="Q10">
        <f t="shared" si="1"/>
        <v>1783437.5</v>
      </c>
      <c r="R10">
        <f t="shared" si="1"/>
        <v>1677812.5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</row>
    <row r="11" spans="2:28" x14ac:dyDescent="0.25">
      <c r="B11" t="s">
        <v>60</v>
      </c>
      <c r="C11">
        <f>C7-C10</f>
        <v>-792187.5</v>
      </c>
      <c r="D11">
        <f t="shared" ref="D11:AB11" si="2">D7-D10</f>
        <v>293753.125</v>
      </c>
      <c r="E11">
        <f t="shared" si="2"/>
        <v>415807.75749999983</v>
      </c>
      <c r="F11">
        <f t="shared" si="2"/>
        <v>538443.26964925043</v>
      </c>
      <c r="G11">
        <f t="shared" si="2"/>
        <v>661667.16905452311</v>
      </c>
      <c r="H11">
        <f t="shared" si="2"/>
        <v>785487.05223593581</v>
      </c>
      <c r="I11">
        <f t="shared" si="2"/>
        <v>909910.60549275251</v>
      </c>
      <c r="J11">
        <f t="shared" si="2"/>
        <v>1034945.6057729144</v>
      </c>
      <c r="K11">
        <f t="shared" si="2"/>
        <v>1160599.9215461658</v>
      </c>
      <c r="L11">
        <f t="shared" si="2"/>
        <v>1286881.513680635</v>
      </c>
      <c r="M11">
        <f t="shared" si="2"/>
        <v>1413798.4363227263</v>
      </c>
      <c r="N11">
        <f t="shared" si="2"/>
        <v>1541358.8377802009</v>
      </c>
      <c r="O11">
        <f t="shared" si="2"/>
        <v>1669570.961408264</v>
      </c>
      <c r="P11">
        <f t="shared" si="2"/>
        <v>1798443.1464985413</v>
      </c>
      <c r="Q11">
        <f t="shared" si="2"/>
        <v>1927983.8291707179</v>
      </c>
      <c r="R11">
        <f t="shared" si="2"/>
        <v>2058201.5432667481</v>
      </c>
      <c r="S11">
        <f t="shared" si="2"/>
        <v>3774495.5462473845</v>
      </c>
      <c r="T11">
        <f t="shared" si="2"/>
        <v>3826874.5700909039</v>
      </c>
      <c r="U11">
        <f t="shared" si="2"/>
        <v>3879956.8221937809</v>
      </c>
      <c r="V11">
        <f t="shared" si="2"/>
        <v>3933751.2362731593</v>
      </c>
      <c r="W11">
        <f t="shared" si="2"/>
        <v>3988266.848270894</v>
      </c>
      <c r="X11">
        <f t="shared" si="2"/>
        <v>4043512.7972589424</v>
      </c>
      <c r="Y11">
        <f t="shared" si="2"/>
        <v>4099498.326345887</v>
      </c>
      <c r="Z11">
        <f t="shared" si="2"/>
        <v>4156232.7835843842</v>
      </c>
      <c r="AA11">
        <f t="shared" si="2"/>
        <v>4213725.6228792537</v>
      </c>
      <c r="AB11">
        <f t="shared" si="2"/>
        <v>4271986.4048960041</v>
      </c>
    </row>
    <row r="12" spans="2:28" x14ac:dyDescent="0.25">
      <c r="B12" t="s">
        <v>61</v>
      </c>
      <c r="C12">
        <f>-'03 Construction'!C8</f>
        <v>-13125000</v>
      </c>
      <c r="D12">
        <f>-'03 Construction'!D8</f>
        <v>0</v>
      </c>
      <c r="E12">
        <f>-'03 Construction'!E8</f>
        <v>0</v>
      </c>
      <c r="F12">
        <f>-'03 Construction'!F8</f>
        <v>0</v>
      </c>
      <c r="G12">
        <f>-'03 Construction'!G8</f>
        <v>0</v>
      </c>
      <c r="H12">
        <f>-'03 Construction'!H8</f>
        <v>0</v>
      </c>
      <c r="I12">
        <f>-'03 Construction'!I8</f>
        <v>0</v>
      </c>
      <c r="J12">
        <f>-'03 Construction'!J8</f>
        <v>0</v>
      </c>
      <c r="K12">
        <f>-'03 Construction'!K8</f>
        <v>0</v>
      </c>
      <c r="L12">
        <f>-'03 Construction'!L8</f>
        <v>0</v>
      </c>
      <c r="M12">
        <f>-'03 Construction'!M8</f>
        <v>0</v>
      </c>
      <c r="N12">
        <f>-'03 Construction'!N8</f>
        <v>0</v>
      </c>
      <c r="O12">
        <f>-'03 Construction'!O8</f>
        <v>0</v>
      </c>
      <c r="P12">
        <f>-'03 Construction'!P8</f>
        <v>0</v>
      </c>
      <c r="Q12">
        <f>-'03 Construction'!Q8</f>
        <v>0</v>
      </c>
      <c r="R12">
        <f>-'03 Construction'!R8</f>
        <v>0</v>
      </c>
      <c r="S12">
        <f>-'03 Construction'!S8</f>
        <v>0</v>
      </c>
      <c r="T12">
        <f>-'03 Construction'!T8</f>
        <v>0</v>
      </c>
      <c r="U12">
        <f>-'03 Construction'!U8</f>
        <v>0</v>
      </c>
      <c r="V12">
        <f>-'03 Construction'!V8</f>
        <v>0</v>
      </c>
      <c r="W12">
        <f>-'03 Construction'!W8</f>
        <v>0</v>
      </c>
      <c r="X12">
        <f>-'03 Construction'!X8</f>
        <v>0</v>
      </c>
      <c r="Y12">
        <f>-'03 Construction'!Y8</f>
        <v>0</v>
      </c>
      <c r="Z12">
        <f>-'03 Construction'!Z8</f>
        <v>0</v>
      </c>
      <c r="AA12">
        <f>-'03 Construction'!AA8</f>
        <v>0</v>
      </c>
      <c r="AB12">
        <f>-'03 Construction'!AB8</f>
        <v>0</v>
      </c>
    </row>
    <row r="13" spans="2:28" x14ac:dyDescent="0.25">
      <c r="B13" t="s">
        <v>62</v>
      </c>
      <c r="C13">
        <f>C11+C12</f>
        <v>-13917187.5</v>
      </c>
      <c r="D13">
        <f t="shared" ref="D13:AB13" si="3">D11+D12</f>
        <v>293753.125</v>
      </c>
      <c r="E13">
        <f t="shared" si="3"/>
        <v>415807.75749999983</v>
      </c>
      <c r="F13">
        <f t="shared" si="3"/>
        <v>538443.26964925043</v>
      </c>
      <c r="G13">
        <f t="shared" si="3"/>
        <v>661667.16905452311</v>
      </c>
      <c r="H13">
        <f t="shared" si="3"/>
        <v>785487.05223593581</v>
      </c>
      <c r="I13">
        <f t="shared" si="3"/>
        <v>909910.60549275251</v>
      </c>
      <c r="J13">
        <f t="shared" si="3"/>
        <v>1034945.6057729144</v>
      </c>
      <c r="K13">
        <f t="shared" si="3"/>
        <v>1160599.9215461658</v>
      </c>
      <c r="L13">
        <f t="shared" si="3"/>
        <v>1286881.513680635</v>
      </c>
      <c r="M13">
        <f t="shared" si="3"/>
        <v>1413798.4363227263</v>
      </c>
      <c r="N13">
        <f t="shared" si="3"/>
        <v>1541358.8377802009</v>
      </c>
      <c r="O13">
        <f t="shared" si="3"/>
        <v>1669570.961408264</v>
      </c>
      <c r="P13">
        <f t="shared" si="3"/>
        <v>1798443.1464985413</v>
      </c>
      <c r="Q13">
        <f t="shared" si="3"/>
        <v>1927983.8291707179</v>
      </c>
      <c r="R13">
        <f t="shared" si="3"/>
        <v>2058201.5432667481</v>
      </c>
      <c r="S13">
        <f t="shared" si="3"/>
        <v>3774495.5462473845</v>
      </c>
      <c r="T13">
        <f t="shared" si="3"/>
        <v>3826874.5700909039</v>
      </c>
      <c r="U13">
        <f t="shared" si="3"/>
        <v>3879956.8221937809</v>
      </c>
      <c r="V13">
        <f t="shared" si="3"/>
        <v>3933751.2362731593</v>
      </c>
      <c r="W13">
        <f t="shared" si="3"/>
        <v>3988266.848270894</v>
      </c>
      <c r="X13">
        <f t="shared" si="3"/>
        <v>4043512.7972589424</v>
      </c>
      <c r="Y13">
        <f t="shared" si="3"/>
        <v>4099498.326345887</v>
      </c>
      <c r="Z13">
        <f t="shared" si="3"/>
        <v>4156232.7835843842</v>
      </c>
      <c r="AA13">
        <f t="shared" si="3"/>
        <v>4213725.6228792537</v>
      </c>
      <c r="AB13">
        <f t="shared" si="3"/>
        <v>4271986.4048960041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18F9-7A73-40F8-9640-027A61F578E3}">
  <dimension ref="B2:AB16"/>
  <sheetViews>
    <sheetView topLeftCell="B1" workbookViewId="0">
      <selection activeCell="D17" sqref="D17"/>
    </sheetView>
  </sheetViews>
  <sheetFormatPr defaultRowHeight="15" x14ac:dyDescent="0.25"/>
  <cols>
    <col min="2" max="2" width="18.5703125" customWidth="1"/>
    <col min="3" max="3" width="12.42578125" bestFit="1" customWidth="1"/>
    <col min="4" max="28" width="10.5703125" bestFit="1" customWidth="1"/>
  </cols>
  <sheetData>
    <row r="2" spans="2:28" x14ac:dyDescent="0.25">
      <c r="B2" t="s">
        <v>63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58</v>
      </c>
      <c r="C5">
        <f>'07 Cash Flow'!C7</f>
        <v>0</v>
      </c>
      <c r="D5">
        <f>'07 Cash Flow'!D7</f>
        <v>3450315.625</v>
      </c>
      <c r="E5">
        <f>'07 Cash Flow'!E7</f>
        <v>3466745.2574999998</v>
      </c>
      <c r="F5">
        <f>'07 Cash Flow'!F7</f>
        <v>3483755.7696492504</v>
      </c>
      <c r="G5">
        <f>'07 Cash Flow'!G7</f>
        <v>3501354.6690545231</v>
      </c>
      <c r="H5">
        <f>'07 Cash Flow'!H7</f>
        <v>3519549.5522359358</v>
      </c>
      <c r="I5">
        <f>'07 Cash Flow'!I7</f>
        <v>3538348.1054927525</v>
      </c>
      <c r="J5">
        <f>'07 Cash Flow'!J7</f>
        <v>3557758.1057729144</v>
      </c>
      <c r="K5">
        <f>'07 Cash Flow'!K7</f>
        <v>3577787.4215461658</v>
      </c>
      <c r="L5">
        <f>'07 Cash Flow'!L7</f>
        <v>3598444.013680635</v>
      </c>
      <c r="M5">
        <f>'07 Cash Flow'!M7</f>
        <v>3619735.9363227263</v>
      </c>
      <c r="N5">
        <f>'07 Cash Flow'!N7</f>
        <v>3641671.3377802009</v>
      </c>
      <c r="O5">
        <f>'07 Cash Flow'!O7</f>
        <v>3664258.461408264</v>
      </c>
      <c r="P5">
        <f>'07 Cash Flow'!P7</f>
        <v>3687505.6464985413</v>
      </c>
      <c r="Q5">
        <f>'07 Cash Flow'!Q7</f>
        <v>3711421.3291707179</v>
      </c>
      <c r="R5">
        <f>'07 Cash Flow'!R7</f>
        <v>3736014.0432667481</v>
      </c>
      <c r="S5">
        <f>'07 Cash Flow'!S7</f>
        <v>3774495.5462473845</v>
      </c>
      <c r="T5">
        <f>'07 Cash Flow'!T7</f>
        <v>3826874.5700909039</v>
      </c>
      <c r="U5">
        <f>'07 Cash Flow'!U7</f>
        <v>3879956.8221937809</v>
      </c>
      <c r="V5">
        <f>'07 Cash Flow'!V7</f>
        <v>3933751.2362731593</v>
      </c>
      <c r="W5">
        <f>'07 Cash Flow'!W7</f>
        <v>3988266.848270894</v>
      </c>
      <c r="X5">
        <f>'07 Cash Flow'!X7</f>
        <v>4043512.7972589424</v>
      </c>
      <c r="Y5">
        <f>'07 Cash Flow'!Y7</f>
        <v>4099498.326345887</v>
      </c>
      <c r="Z5">
        <f>'07 Cash Flow'!Z7</f>
        <v>4156232.7835843842</v>
      </c>
      <c r="AA5">
        <f>'07 Cash Flow'!AA7</f>
        <v>4213725.6228792537</v>
      </c>
      <c r="AB5">
        <f>'07 Cash Flow'!AB7</f>
        <v>4271986.4048960041</v>
      </c>
    </row>
    <row r="6" spans="2:28" x14ac:dyDescent="0.25">
      <c r="B6" t="s">
        <v>53</v>
      </c>
      <c r="C6">
        <f>'07 Cash Flow'!C10</f>
        <v>792187.5</v>
      </c>
      <c r="D6">
        <f>'07 Cash Flow'!D10</f>
        <v>3156562.5</v>
      </c>
      <c r="E6">
        <f>'07 Cash Flow'!E10</f>
        <v>3050937.5</v>
      </c>
      <c r="F6">
        <f>'07 Cash Flow'!F10</f>
        <v>2945312.5</v>
      </c>
      <c r="G6">
        <f>'07 Cash Flow'!G10</f>
        <v>2839687.5</v>
      </c>
      <c r="H6">
        <f>'07 Cash Flow'!H10</f>
        <v>2734062.5</v>
      </c>
      <c r="I6">
        <f>'07 Cash Flow'!I10</f>
        <v>2628437.5</v>
      </c>
      <c r="J6">
        <f>'07 Cash Flow'!J10</f>
        <v>2522812.5</v>
      </c>
      <c r="K6">
        <f>'07 Cash Flow'!K10</f>
        <v>2417187.5</v>
      </c>
      <c r="L6">
        <f>'07 Cash Flow'!L10</f>
        <v>2311562.5</v>
      </c>
      <c r="M6">
        <f>'07 Cash Flow'!M10</f>
        <v>2205937.5</v>
      </c>
      <c r="N6">
        <f>'07 Cash Flow'!N10</f>
        <v>2100312.5</v>
      </c>
      <c r="O6">
        <f>'07 Cash Flow'!O10</f>
        <v>1994687.5</v>
      </c>
      <c r="P6">
        <f>'07 Cash Flow'!P10</f>
        <v>1889062.5</v>
      </c>
      <c r="Q6">
        <f>'07 Cash Flow'!Q10</f>
        <v>1783437.5</v>
      </c>
      <c r="R6">
        <f>'07 Cash Flow'!R10</f>
        <v>1677812.5</v>
      </c>
      <c r="S6">
        <f>'07 Cash Flow'!S10</f>
        <v>0</v>
      </c>
      <c r="T6">
        <f>'07 Cash Flow'!T10</f>
        <v>0</v>
      </c>
      <c r="U6">
        <f>'07 Cash Flow'!U10</f>
        <v>0</v>
      </c>
      <c r="V6">
        <f>'07 Cash Flow'!V10</f>
        <v>0</v>
      </c>
      <c r="W6">
        <f>'07 Cash Flow'!W10</f>
        <v>0</v>
      </c>
      <c r="X6">
        <f>'07 Cash Flow'!X10</f>
        <v>0</v>
      </c>
      <c r="Y6">
        <f>'07 Cash Flow'!Y10</f>
        <v>0</v>
      </c>
      <c r="Z6">
        <f>'07 Cash Flow'!Z10</f>
        <v>0</v>
      </c>
      <c r="AA6">
        <f>'07 Cash Flow'!AA10</f>
        <v>0</v>
      </c>
      <c r="AB6">
        <f>'07 Cash Flow'!AB10</f>
        <v>0</v>
      </c>
    </row>
    <row r="7" spans="2:28" x14ac:dyDescent="0.25">
      <c r="B7" t="s">
        <v>64</v>
      </c>
      <c r="C7">
        <f>IF(C6&gt;0,C5/C6,"")</f>
        <v>0</v>
      </c>
      <c r="D7">
        <f t="shared" ref="D7:AB7" si="0">IF(D6&gt;0,D5/D6,"")</f>
        <v>1.093061083061083</v>
      </c>
      <c r="E7">
        <f t="shared" si="0"/>
        <v>1.1362885203318651</v>
      </c>
      <c r="F7">
        <f t="shared" si="0"/>
        <v>1.1828136300135386</v>
      </c>
      <c r="G7">
        <f t="shared" si="0"/>
        <v>1.2330070365329013</v>
      </c>
      <c r="H7">
        <f t="shared" si="0"/>
        <v>1.2872966701514452</v>
      </c>
      <c r="I7">
        <f t="shared" si="0"/>
        <v>1.3461792816046616</v>
      </c>
      <c r="J7">
        <f t="shared" si="0"/>
        <v>1.4102348493092192</v>
      </c>
      <c r="K7">
        <f t="shared" si="0"/>
        <v>1.48014476392343</v>
      </c>
      <c r="L7">
        <f t="shared" si="0"/>
        <v>1.5567149984829027</v>
      </c>
      <c r="M7">
        <f t="shared" si="0"/>
        <v>1.6409059351512572</v>
      </c>
      <c r="N7">
        <f t="shared" si="0"/>
        <v>1.7338711919203456</v>
      </c>
      <c r="O7">
        <f t="shared" si="0"/>
        <v>1.8370087852900587</v>
      </c>
      <c r="P7">
        <f t="shared" si="0"/>
        <v>1.9520294572035288</v>
      </c>
      <c r="Q7">
        <f t="shared" si="0"/>
        <v>2.0810492821703694</v>
      </c>
      <c r="R7">
        <f t="shared" si="0"/>
        <v>2.2267172543217719</v>
      </c>
      <c r="S7" t="str">
        <f t="shared" ref="S7" si="1">IF(S6&gt;0,S5/S6,"")</f>
        <v/>
      </c>
      <c r="T7" t="str">
        <f t="shared" ref="T7" si="2">IF(T6&gt;0,T5/T6,"")</f>
        <v/>
      </c>
      <c r="U7" t="str">
        <f t="shared" ref="U7" si="3">IF(U6&gt;0,U5/U6,"")</f>
        <v/>
      </c>
      <c r="V7" t="str">
        <f t="shared" ref="V7" si="4">IF(V6&gt;0,V5/V6,"")</f>
        <v/>
      </c>
      <c r="W7" t="str">
        <f t="shared" ref="W7" si="5">IF(W6&gt;0,W5/W6,"")</f>
        <v/>
      </c>
      <c r="X7" t="str">
        <f t="shared" ref="X7" si="6">IF(X6&gt;0,X5/X6,"")</f>
        <v/>
      </c>
      <c r="Y7" t="str">
        <f t="shared" ref="Y7" si="7">IF(Y6&gt;0,Y5/Y6,"")</f>
        <v/>
      </c>
      <c r="Z7" t="str">
        <f t="shared" ref="Z7" si="8">IF(Z6&gt;0,Z5/Z6,"")</f>
        <v/>
      </c>
      <c r="AA7" t="str">
        <f t="shared" ref="AA7" si="9">IF(AA6&gt;0,AA5/AA6,"")</f>
        <v/>
      </c>
      <c r="AB7" t="str">
        <f t="shared" ref="AB7" si="10">IF(AB6&gt;0,AB5/AB6,"")</f>
        <v/>
      </c>
    </row>
    <row r="8" spans="2:28" x14ac:dyDescent="0.25">
      <c r="B8" t="s">
        <v>54</v>
      </c>
      <c r="C8">
        <f>'05 Debt'!C10</f>
        <v>24375000</v>
      </c>
      <c r="D8">
        <f>'05 Debt'!D10</f>
        <v>22750000</v>
      </c>
      <c r="E8">
        <f>'05 Debt'!E10</f>
        <v>21125000</v>
      </c>
      <c r="F8">
        <f>'05 Debt'!F10</f>
        <v>19500000</v>
      </c>
      <c r="G8">
        <f>'05 Debt'!G10</f>
        <v>17875000</v>
      </c>
      <c r="H8">
        <f>'05 Debt'!H10</f>
        <v>16250000</v>
      </c>
      <c r="I8">
        <f>'05 Debt'!I10</f>
        <v>14625000</v>
      </c>
      <c r="J8">
        <f>'05 Debt'!J10</f>
        <v>13000000</v>
      </c>
      <c r="K8">
        <f>'05 Debt'!K10</f>
        <v>11375000</v>
      </c>
      <c r="L8">
        <f>'05 Debt'!L10</f>
        <v>9750000</v>
      </c>
      <c r="M8">
        <f>'05 Debt'!M10</f>
        <v>8125000</v>
      </c>
      <c r="N8">
        <f>'05 Debt'!N10</f>
        <v>6500000</v>
      </c>
      <c r="O8">
        <f>'05 Debt'!O10</f>
        <v>4875000</v>
      </c>
      <c r="P8">
        <f>'05 Debt'!P10</f>
        <v>3250000</v>
      </c>
      <c r="Q8">
        <f>'05 Debt'!Q10</f>
        <v>1625000</v>
      </c>
      <c r="R8">
        <f>'05 Debt'!R10</f>
        <v>0</v>
      </c>
      <c r="S8">
        <f>'05 Debt'!S10</f>
        <v>0</v>
      </c>
      <c r="T8">
        <f>'05 Debt'!T10</f>
        <v>0</v>
      </c>
      <c r="U8">
        <f>'05 Debt'!U10</f>
        <v>0</v>
      </c>
      <c r="V8">
        <f>'05 Debt'!V10</f>
        <v>0</v>
      </c>
      <c r="W8">
        <f>'05 Debt'!W10</f>
        <v>0</v>
      </c>
      <c r="X8">
        <f>'05 Debt'!X10</f>
        <v>0</v>
      </c>
      <c r="Y8">
        <f>'05 Debt'!Y10</f>
        <v>0</v>
      </c>
      <c r="Z8">
        <f>'05 Debt'!Z10</f>
        <v>0</v>
      </c>
      <c r="AA8">
        <f>'05 Debt'!AA10</f>
        <v>0</v>
      </c>
      <c r="AB8">
        <f>'05 Debt'!AB10</f>
        <v>0</v>
      </c>
    </row>
    <row r="9" spans="2:28" x14ac:dyDescent="0.25">
      <c r="B9" t="s">
        <v>62</v>
      </c>
      <c r="C9">
        <f>'07 Cash Flow'!C13</f>
        <v>-13917187.5</v>
      </c>
      <c r="D9">
        <f>'07 Cash Flow'!D13</f>
        <v>293753.125</v>
      </c>
      <c r="E9">
        <f>'07 Cash Flow'!E13</f>
        <v>415807.75749999983</v>
      </c>
      <c r="F9">
        <f>'07 Cash Flow'!F13</f>
        <v>538443.26964925043</v>
      </c>
      <c r="G9">
        <f>'07 Cash Flow'!G13</f>
        <v>661667.16905452311</v>
      </c>
      <c r="H9">
        <f>'07 Cash Flow'!H13</f>
        <v>785487.05223593581</v>
      </c>
      <c r="I9">
        <f>'07 Cash Flow'!I13</f>
        <v>909910.60549275251</v>
      </c>
      <c r="J9">
        <f>'07 Cash Flow'!J13</f>
        <v>1034945.6057729144</v>
      </c>
      <c r="K9">
        <f>'07 Cash Flow'!K13</f>
        <v>1160599.9215461658</v>
      </c>
      <c r="L9">
        <f>'07 Cash Flow'!L13</f>
        <v>1286881.513680635</v>
      </c>
      <c r="M9">
        <f>'07 Cash Flow'!M13</f>
        <v>1413798.4363227263</v>
      </c>
      <c r="N9">
        <f>'07 Cash Flow'!N13</f>
        <v>1541358.8377802009</v>
      </c>
      <c r="O9">
        <f>'07 Cash Flow'!O13</f>
        <v>1669570.961408264</v>
      </c>
      <c r="P9">
        <f>'07 Cash Flow'!P13</f>
        <v>1798443.1464985413</v>
      </c>
      <c r="Q9">
        <f>'07 Cash Flow'!Q13</f>
        <v>1927983.8291707179</v>
      </c>
      <c r="R9">
        <f>'07 Cash Flow'!R13</f>
        <v>2058201.5432667481</v>
      </c>
      <c r="S9">
        <f>'07 Cash Flow'!S13</f>
        <v>3774495.5462473845</v>
      </c>
      <c r="T9">
        <f>'07 Cash Flow'!T13</f>
        <v>3826874.5700909039</v>
      </c>
      <c r="U9">
        <f>'07 Cash Flow'!U13</f>
        <v>3879956.8221937809</v>
      </c>
      <c r="V9">
        <f>'07 Cash Flow'!V13</f>
        <v>3933751.2362731593</v>
      </c>
      <c r="W9">
        <f>'07 Cash Flow'!W13</f>
        <v>3988266.848270894</v>
      </c>
      <c r="X9">
        <f>'07 Cash Flow'!X13</f>
        <v>4043512.7972589424</v>
      </c>
      <c r="Y9">
        <f>'07 Cash Flow'!Y13</f>
        <v>4099498.326345887</v>
      </c>
      <c r="Z9">
        <f>'07 Cash Flow'!Z13</f>
        <v>4156232.7835843842</v>
      </c>
      <c r="AA9">
        <f>'07 Cash Flow'!AA13</f>
        <v>4213725.6228792537</v>
      </c>
      <c r="AB9">
        <f>'07 Cash Flow'!AB13</f>
        <v>4271986.4048960041</v>
      </c>
    </row>
    <row r="10" spans="2:28" x14ac:dyDescent="0.25">
      <c r="B10" t="s">
        <v>65</v>
      </c>
      <c r="C10" s="7">
        <f>'04 Operation'!C14-'06 Tax'!C8-'03 Construction'!C6</f>
        <v>-37500000</v>
      </c>
      <c r="D10" s="7">
        <f>'04 Operation'!D14-'06 Tax'!D8-'03 Construction'!D6</f>
        <v>3450315.625</v>
      </c>
      <c r="E10" s="7">
        <f>'04 Operation'!E14-'06 Tax'!E8-'03 Construction'!E6</f>
        <v>3466745.2574999998</v>
      </c>
      <c r="F10" s="7">
        <f>'04 Operation'!F14-'06 Tax'!F8-'03 Construction'!F6</f>
        <v>3483755.7696492504</v>
      </c>
      <c r="G10" s="7">
        <f>'04 Operation'!G14-'06 Tax'!G8-'03 Construction'!G6</f>
        <v>3501354.6690545231</v>
      </c>
      <c r="H10" s="7">
        <f>'04 Operation'!H14-'06 Tax'!H8-'03 Construction'!H6</f>
        <v>3519549.5522359358</v>
      </c>
      <c r="I10" s="7">
        <f>'04 Operation'!I14-'06 Tax'!I8-'03 Construction'!I6</f>
        <v>3538348.1054927525</v>
      </c>
      <c r="J10" s="7">
        <f>'04 Operation'!J14-'06 Tax'!J8-'03 Construction'!J6</f>
        <v>3557758.1057729144</v>
      </c>
      <c r="K10" s="7">
        <f>'04 Operation'!K14-'06 Tax'!K8-'03 Construction'!K6</f>
        <v>3577787.4215461658</v>
      </c>
      <c r="L10" s="7">
        <f>'04 Operation'!L14-'06 Tax'!L8-'03 Construction'!L6</f>
        <v>3598444.013680635</v>
      </c>
      <c r="M10" s="7">
        <f>'04 Operation'!M14-'06 Tax'!M8-'03 Construction'!M6</f>
        <v>3619735.9363227263</v>
      </c>
      <c r="N10" s="7">
        <f>'04 Operation'!N14-'06 Tax'!N8-'03 Construction'!N6</f>
        <v>3641671.3377802009</v>
      </c>
      <c r="O10" s="7">
        <f>'04 Operation'!O14-'06 Tax'!O8-'03 Construction'!O6</f>
        <v>3664258.461408264</v>
      </c>
      <c r="P10" s="7">
        <f>'04 Operation'!P14-'06 Tax'!P8-'03 Construction'!P6</f>
        <v>3687505.6464985413</v>
      </c>
      <c r="Q10" s="7">
        <f>'04 Operation'!Q14-'06 Tax'!Q8-'03 Construction'!Q6</f>
        <v>3711421.3291707179</v>
      </c>
      <c r="R10" s="7">
        <f>'04 Operation'!R14-'06 Tax'!R8-'03 Construction'!R6</f>
        <v>3736014.0432667481</v>
      </c>
      <c r="S10" s="7">
        <f>'04 Operation'!S14-'06 Tax'!S8-'03 Construction'!S6</f>
        <v>3774495.5462473845</v>
      </c>
      <c r="T10" s="7">
        <f>'04 Operation'!T14-'06 Tax'!T8-'03 Construction'!T6</f>
        <v>3826874.5700909039</v>
      </c>
      <c r="U10" s="7">
        <f>'04 Operation'!U14-'06 Tax'!U8-'03 Construction'!U6</f>
        <v>3879956.8221937809</v>
      </c>
      <c r="V10" s="7">
        <f>'04 Operation'!V14-'06 Tax'!V8-'03 Construction'!V6</f>
        <v>3933751.2362731593</v>
      </c>
      <c r="W10" s="7">
        <f>'04 Operation'!W14-'06 Tax'!W8-'03 Construction'!W6</f>
        <v>3988266.848270894</v>
      </c>
      <c r="X10" s="7">
        <f>'04 Operation'!X14-'06 Tax'!X8-'03 Construction'!X6</f>
        <v>4043512.7972589424</v>
      </c>
      <c r="Y10" s="7">
        <f>'04 Operation'!Y14-'06 Tax'!Y8-'03 Construction'!Y6</f>
        <v>4099498.326345887</v>
      </c>
      <c r="Z10" s="7">
        <f>'04 Operation'!Z14-'06 Tax'!Z8-'03 Construction'!Z6</f>
        <v>4156232.7835843842</v>
      </c>
      <c r="AA10" s="7">
        <f>'04 Operation'!AA14-'06 Tax'!AA8-'03 Construction'!AA6</f>
        <v>4213725.6228792537</v>
      </c>
      <c r="AB10" s="7">
        <f>'04 Operation'!AB14-'06 Tax'!AB8-'03 Construction'!AB6</f>
        <v>4271986.4048960041</v>
      </c>
    </row>
    <row r="12" spans="2:28" x14ac:dyDescent="0.25">
      <c r="B12" t="s">
        <v>8</v>
      </c>
      <c r="C12">
        <f>MIN(D7:R7)</f>
        <v>1.093061083061083</v>
      </c>
    </row>
    <row r="13" spans="2:28" x14ac:dyDescent="0.25">
      <c r="B13" t="s">
        <v>9</v>
      </c>
      <c r="C13" s="7">
        <f>AVERAGE(D7:R7)</f>
        <v>1.5464881826312253</v>
      </c>
    </row>
    <row r="14" spans="2:28" x14ac:dyDescent="0.25">
      <c r="B14" t="s">
        <v>11</v>
      </c>
      <c r="C14" s="6">
        <f>IRR(C9:AB9)</f>
        <v>9.4986304043736425E-2</v>
      </c>
    </row>
    <row r="15" spans="2:28" x14ac:dyDescent="0.25">
      <c r="B15" t="s">
        <v>12</v>
      </c>
    </row>
    <row r="16" spans="2:28" x14ac:dyDescent="0.25">
      <c r="B16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31D8-AADB-45E8-AB5F-6EAC5AF2C403}">
  <dimension ref="B2:H7"/>
  <sheetViews>
    <sheetView tabSelected="1" topLeftCell="D1" workbookViewId="0">
      <selection activeCell="F11" sqref="F11"/>
    </sheetView>
  </sheetViews>
  <sheetFormatPr defaultRowHeight="15" x14ac:dyDescent="0.25"/>
  <cols>
    <col min="2" max="2" width="18.42578125" customWidth="1"/>
    <col min="3" max="3" width="13.28515625" customWidth="1"/>
    <col min="4" max="4" width="18.140625" customWidth="1"/>
    <col min="5" max="5" width="18.28515625" customWidth="1"/>
    <col min="6" max="6" width="18.42578125" customWidth="1"/>
    <col min="7" max="7" width="10.42578125" customWidth="1"/>
  </cols>
  <sheetData>
    <row r="2" spans="2:8" x14ac:dyDescent="0.25">
      <c r="B2" t="s">
        <v>72</v>
      </c>
    </row>
    <row r="4" spans="2:8" x14ac:dyDescent="0.25"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11</v>
      </c>
      <c r="H4" t="s">
        <v>78</v>
      </c>
    </row>
    <row r="5" spans="2:8" x14ac:dyDescent="0.25">
      <c r="B5" t="s">
        <v>79</v>
      </c>
      <c r="C5" s="9">
        <v>0.1</v>
      </c>
      <c r="D5" s="9">
        <v>-0.1</v>
      </c>
      <c r="E5" s="9">
        <v>-0.05</v>
      </c>
      <c r="F5" s="9">
        <v>0.01</v>
      </c>
      <c r="G5" s="10"/>
      <c r="H5" s="10"/>
    </row>
    <row r="6" spans="2:8" x14ac:dyDescent="0.25">
      <c r="B6" t="s">
        <v>80</v>
      </c>
      <c r="C6" s="9">
        <v>0</v>
      </c>
      <c r="D6" s="9">
        <v>0</v>
      </c>
      <c r="E6" s="9">
        <v>0</v>
      </c>
      <c r="F6" s="9">
        <v>0</v>
      </c>
      <c r="G6" s="10"/>
      <c r="H6" s="10"/>
    </row>
    <row r="7" spans="2:8" x14ac:dyDescent="0.25">
      <c r="B7" t="s">
        <v>81</v>
      </c>
      <c r="C7">
        <v>-5</v>
      </c>
      <c r="D7">
        <v>10</v>
      </c>
      <c r="E7" s="9">
        <v>5</v>
      </c>
      <c r="F7">
        <v>-0.5</v>
      </c>
      <c r="G7" s="10"/>
      <c r="H7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7BBD-8E2F-48E3-981E-DD8A526428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6EC3-0E37-46E8-9606-65D07DA4FAFD}">
  <dimension ref="B2:D8"/>
  <sheetViews>
    <sheetView workbookViewId="0">
      <selection activeCell="D7" sqref="D7"/>
    </sheetView>
  </sheetViews>
  <sheetFormatPr defaultRowHeight="15" x14ac:dyDescent="0.25"/>
  <cols>
    <col min="2" max="2" width="18.42578125" customWidth="1"/>
  </cols>
  <sheetData>
    <row r="2" spans="2:4" x14ac:dyDescent="0.25">
      <c r="B2" t="s">
        <v>66</v>
      </c>
    </row>
    <row r="3" spans="2:4" x14ac:dyDescent="0.25">
      <c r="C3" t="s">
        <v>70</v>
      </c>
      <c r="D3" t="s">
        <v>71</v>
      </c>
    </row>
    <row r="4" spans="2:4" x14ac:dyDescent="0.25">
      <c r="B4" t="s">
        <v>67</v>
      </c>
      <c r="C4">
        <f>SUM('03 Construction'!C9:AB9)</f>
        <v>0</v>
      </c>
      <c r="D4" t="str">
        <f>IF(ABS(C4)&lt;1,"OK","Error")</f>
        <v>OK</v>
      </c>
    </row>
    <row r="5" spans="2:4" x14ac:dyDescent="0.25">
      <c r="B5" t="s">
        <v>68</v>
      </c>
      <c r="C5">
        <f>'05 Debt'!AB10</f>
        <v>0</v>
      </c>
      <c r="D5" t="str">
        <f>IF(ABS(C5)&lt;1,"OK","Error")</f>
        <v>OK</v>
      </c>
    </row>
    <row r="6" spans="2:4" x14ac:dyDescent="0.25">
      <c r="B6" t="s">
        <v>69</v>
      </c>
      <c r="C6">
        <f>'08 Returns'!C12</f>
        <v>1.093061083061083</v>
      </c>
      <c r="D6" t="str">
        <f>IF(C6&gt;1.2,"OK","Weak")</f>
        <v>Weak</v>
      </c>
    </row>
    <row r="7" spans="2:4" x14ac:dyDescent="0.25">
      <c r="B7" t="s">
        <v>11</v>
      </c>
      <c r="C7" s="6">
        <f>'08 Returns'!C14</f>
        <v>9.4986304043736425E-2</v>
      </c>
      <c r="D7" t="str">
        <f>IF(C7&gt;0,"OK","Error")</f>
        <v>OK</v>
      </c>
    </row>
    <row r="8" spans="2:4" x14ac:dyDescent="0.25">
      <c r="C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 Cover</vt:lpstr>
      <vt:lpstr>01 Inputs</vt:lpstr>
      <vt:lpstr>02 Timeline</vt:lpstr>
      <vt:lpstr>03 Construction</vt:lpstr>
      <vt:lpstr>04 Operation</vt:lpstr>
      <vt:lpstr>05 Debt</vt:lpstr>
      <vt:lpstr>06 Tax</vt:lpstr>
      <vt:lpstr>07 Cash Flow</vt:lpstr>
      <vt:lpstr>08 Returns</vt:lpstr>
      <vt:lpstr>09 Sensitivities</vt:lpstr>
      <vt:lpstr>10 Dashboard</vt:lpstr>
      <vt:lpstr>11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Mustakim Ferdoushi</dc:creator>
  <cp:lastModifiedBy>a28837</cp:lastModifiedBy>
  <dcterms:created xsi:type="dcterms:W3CDTF">2026-05-04T14:49:34Z</dcterms:created>
  <dcterms:modified xsi:type="dcterms:W3CDTF">2026-05-11T02:48:21Z</dcterms:modified>
</cp:coreProperties>
</file>